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allazgos" sheetId="2" state="visible" r:id="rId2"/>
    <sheet xmlns:r="http://schemas.openxmlformats.org/officeDocument/2006/relationships" name="Detalle" sheetId="3" state="visible" r:id="rId3"/>
    <sheet xmlns:r="http://schemas.openxmlformats.org/officeDocument/2006/relationships" name="HU_Caso" sheetId="4" state="visible" r:id="rId4"/>
    <sheet xmlns:r="http://schemas.openxmlformats.org/officeDocument/2006/relationships" name="Ejecuciones" sheetId="5" state="visible" r:id="rId5"/>
  </sheets>
  <definedNames>
    <definedName name="_xlnm._FilterDatabase" localSheetId="2" hidden="1">'Detalle'!$A$1:$N$78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i val="1"/>
      <sz val="9"/>
    </font>
    <font>
      <name val="Arial"/>
      <b val="1"/>
      <sz val="10"/>
    </font>
  </fonts>
  <fills count="7">
    <fill>
      <patternFill/>
    </fill>
    <fill>
      <patternFill patternType="gray125"/>
    </fill>
    <fill>
      <patternFill patternType="solid">
        <fgColor rgb="001F4E78"/>
      </patternFill>
    </fill>
    <fill>
      <patternFill patternType="solid">
        <fgColor rgb="00F4B6B0"/>
      </patternFill>
    </fill>
    <fill>
      <patternFill patternType="solid">
        <fgColor rgb="00F8D3A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top" wrapText="1"/>
    </xf>
    <xf numFmtId="0" fontId="2" fillId="0" borderId="1" pivotButton="0" quotePrefix="0" xfId="0"/>
    <xf numFmtId="9" fontId="2" fillId="0" borderId="1" pivotButton="0" quotePrefix="0" xfId="0"/>
    <xf numFmtId="0" fontId="6" fillId="0" borderId="1" pivotButton="0" quotePrefix="0" xfId="0"/>
    <xf numFmtId="9" fontId="6" fillId="0" borderId="1" pivotButton="0" quotePrefix="0" xfId="0"/>
    <xf numFmtId="0" fontId="2" fillId="0" borderId="1" applyAlignment="1" pivotButton="0" quotePrefix="0" xfId="0">
      <alignment horizontal="center" vertical="top" wrapText="1"/>
    </xf>
    <xf numFmtId="0" fontId="6" fillId="0" borderId="1" applyAlignment="1" pivotButton="0" quotePrefix="0" xfId="0">
      <alignment horizontal="center" vertical="top" wrapText="1"/>
    </xf>
    <xf numFmtId="0" fontId="2" fillId="3" borderId="1" applyAlignment="1" pivotButton="0" quotePrefix="0" xfId="0">
      <alignment horizontal="center"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dxfs count="6">
    <dxf>
      <fill>
        <patternFill patternType="solid">
          <fgColor rgb="00D9F2E3"/>
        </patternFill>
      </fill>
    </dxf>
    <dxf>
      <fill>
        <patternFill patternType="solid">
          <fgColor rgb="00FAD7D4"/>
        </patternFill>
      </fill>
    </dxf>
    <dxf>
      <fill>
        <patternFill patternType="solid">
          <fgColor rgb="00F8E1C4"/>
        </patternFill>
      </fill>
    </dxf>
    <dxf>
      <fill>
        <patternFill patternType="solid">
          <fgColor rgb="00E8E0F5"/>
        </patternFill>
      </fill>
    </dxf>
    <dxf>
      <fill>
        <patternFill patternType="solid">
          <fgColor rgb="00EDEFF2"/>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ev.azure.com/ingenieria-requisitos/Conexi%C3%B3n360/_workitems/edit/304" TargetMode="External" Id="rId1"/><Relationship Type="http://schemas.openxmlformats.org/officeDocument/2006/relationships/hyperlink" Target="https://dev.azure.com/ingenieria-requisitos/Conexi%C3%B3n360/_workitems/edit/305" TargetMode="External" Id="rId2"/><Relationship Type="http://schemas.openxmlformats.org/officeDocument/2006/relationships/hyperlink" Target="https://dev.azure.com/ingenieria-requisitos/Conexi%C3%B3n360/_workitems/edit/306" TargetMode="External" Id="rId3"/><Relationship Type="http://schemas.openxmlformats.org/officeDocument/2006/relationships/hyperlink" Target="https://dev.azure.com/ingenieria-requisitos/Conexi%C3%B3n360/_workitems/edit/307" TargetMode="External" Id="rId4"/><Relationship Type="http://schemas.openxmlformats.org/officeDocument/2006/relationships/hyperlink" Target="https://dev.azure.com/ingenieria-requisitos/Conexi%C3%B3n360/_workitems/edit/308" TargetMode="External" Id="rId5"/><Relationship Type="http://schemas.openxmlformats.org/officeDocument/2006/relationships/hyperlink" Target="https://dev.azure.com/ingenieria-requisitos/Conexi%C3%B3n360/_workitems/edit/309" TargetMode="External" Id="rId6"/><Relationship Type="http://schemas.openxmlformats.org/officeDocument/2006/relationships/hyperlink" Target="https://dev.azure.com/ingenieria-requisitos/Conexi%C3%B3n360/_workitems/edit/310" TargetMode="External" Id="rId7"/><Relationship Type="http://schemas.openxmlformats.org/officeDocument/2006/relationships/hyperlink" Target="https://dev.azure.com/ingenieria-requisitos/Conexi%C3%B3n360/_workitems/edit/311" TargetMode="External" Id="rId8"/><Relationship Type="http://schemas.openxmlformats.org/officeDocument/2006/relationships/hyperlink" Target="https://dev.azure.com/ingenieria-requisitos/Conexi%C3%B3n360/_workitems/edit/312" TargetMode="External" Id="rId9"/><Relationship Type="http://schemas.openxmlformats.org/officeDocument/2006/relationships/hyperlink" Target="https://dev.azure.com/ingenieria-requisitos/Conexi%C3%B3n360/_workitems/edit/313" TargetMode="External" Id="rId10"/><Relationship Type="http://schemas.openxmlformats.org/officeDocument/2006/relationships/hyperlink" Target="https://dev.azure.com/ingenieria-requisitos/Conexi%C3%B3n360/_workitems/edit/314" TargetMode="External" Id="rId11"/><Relationship Type="http://schemas.openxmlformats.org/officeDocument/2006/relationships/hyperlink" Target="https://dev.azure.com/ingenieria-requisitos/Conexi%C3%B3n360/_workitems/edit/315" TargetMode="External" Id="rId12"/><Relationship Type="http://schemas.openxmlformats.org/officeDocument/2006/relationships/hyperlink" Target="https://dev.azure.com/ingenieria-requisitos/Conexi%C3%B3n360/_workitems/edit/316" TargetMode="External" Id="rId13"/><Relationship Type="http://schemas.openxmlformats.org/officeDocument/2006/relationships/hyperlink" Target="https://dev.azure.com/ingenieria-requisitos/Conexi%C3%B3n360/_workitems/edit/317" TargetMode="External" Id="rId14"/><Relationship Type="http://schemas.openxmlformats.org/officeDocument/2006/relationships/hyperlink" Target="https://dev.azure.com/ingenieria-requisitos/Conexi%C3%B3n360/_workitems/edit/318" TargetMode="External" Id="rId15"/><Relationship Type="http://schemas.openxmlformats.org/officeDocument/2006/relationships/hyperlink" Target="https://dev.azure.com/ingenieria-requisitos/Conexi%C3%B3n360/_workitems/edit/319" TargetMode="External" Id="rId16"/><Relationship Type="http://schemas.openxmlformats.org/officeDocument/2006/relationships/hyperlink" Target="https://dev.azure.com/ingenieria-requisitos/Conexi%C3%B3n360/_workitems/edit/320" TargetMode="External" Id="rId17"/><Relationship Type="http://schemas.openxmlformats.org/officeDocument/2006/relationships/hyperlink" Target="https://dev.azure.com/ingenieria-requisitos/Conexi%C3%B3n360/_workitems/edit/321" TargetMode="External" Id="rId18"/><Relationship Type="http://schemas.openxmlformats.org/officeDocument/2006/relationships/hyperlink" Target="https://dev.azure.com/ingenieria-requisitos/Conexi%C3%B3n360/_workitems/edit/322" TargetMode="External" Id="rId19"/><Relationship Type="http://schemas.openxmlformats.org/officeDocument/2006/relationships/hyperlink" Target="https://dev.azure.com/ingenieria-requisitos/Conexi%C3%B3n360/_workitems/edit/323" TargetMode="External" Id="rId20"/><Relationship Type="http://schemas.openxmlformats.org/officeDocument/2006/relationships/hyperlink" Target="https://dev.azure.com/ingenieria-requisitos/Conexi%C3%B3n360/_workitems/edit/324" TargetMode="External" Id="rId21"/><Relationship Type="http://schemas.openxmlformats.org/officeDocument/2006/relationships/hyperlink" Target="https://dev.azure.com/ingenieria-requisitos/Conexi%C3%B3n360/_workitems/edit/325" TargetMode="External" Id="rId22"/><Relationship Type="http://schemas.openxmlformats.org/officeDocument/2006/relationships/hyperlink" Target="https://dev.azure.com/ingenieria-requisitos/Conexi%C3%B3n360/_workitems/edit/326" TargetMode="External" Id="rId23"/><Relationship Type="http://schemas.openxmlformats.org/officeDocument/2006/relationships/hyperlink" Target="https://dev.azure.com/ingenieria-requisitos/Conexi%C3%B3n360/_workitems/edit/327" TargetMode="External" Id="rId24"/><Relationship Type="http://schemas.openxmlformats.org/officeDocument/2006/relationships/hyperlink" Target="https://dev.azure.com/ingenieria-requisitos/Conexi%C3%B3n360/_workitems/edit/328" TargetMode="External" Id="rId25"/><Relationship Type="http://schemas.openxmlformats.org/officeDocument/2006/relationships/hyperlink" Target="https://dev.azure.com/ingenieria-requisitos/Conexi%C3%B3n360/_workitems/edit/329" TargetMode="External" Id="rId26"/><Relationship Type="http://schemas.openxmlformats.org/officeDocument/2006/relationships/hyperlink" Target="https://dev.azure.com/ingenieria-requisitos/Conexi%C3%B3n360/_workitems/edit/330" TargetMode="External" Id="rId27"/><Relationship Type="http://schemas.openxmlformats.org/officeDocument/2006/relationships/hyperlink" Target="https://dev.azure.com/ingenieria-requisitos/Conexi%C3%B3n360/_workitems/edit/331" TargetMode="External" Id="rId28"/><Relationship Type="http://schemas.openxmlformats.org/officeDocument/2006/relationships/hyperlink" Target="https://dev.azure.com/ingenieria-requisitos/Conexi%C3%B3n360/_workitems/edit/332" TargetMode="External" Id="rId29"/><Relationship Type="http://schemas.openxmlformats.org/officeDocument/2006/relationships/hyperlink" Target="https://dev.azure.com/ingenieria-requisitos/Conexi%C3%B3n360/_workitems/edit/333" TargetMode="External" Id="rId30"/><Relationship Type="http://schemas.openxmlformats.org/officeDocument/2006/relationships/hyperlink" Target="https://dev.azure.com/ingenieria-requisitos/Conexi%C3%B3n360/_workitems/edit/335" TargetMode="External" Id="rId31"/><Relationship Type="http://schemas.openxmlformats.org/officeDocument/2006/relationships/hyperlink" Target="https://dev.azure.com/ingenieria-requisitos/Conexi%C3%B3n360/_workitems/edit/340" TargetMode="External" Id="rId32"/><Relationship Type="http://schemas.openxmlformats.org/officeDocument/2006/relationships/hyperlink" Target="https://dev.azure.com/ingenieria-requisitos/Conexi%C3%B3n360/_workitems/edit/341" TargetMode="External" Id="rId33"/><Relationship Type="http://schemas.openxmlformats.org/officeDocument/2006/relationships/hyperlink" Target="https://dev.azure.com/ingenieria-requisitos/Conexi%C3%B3n360/_workitems/edit/342" TargetMode="External" Id="rId34"/><Relationship Type="http://schemas.openxmlformats.org/officeDocument/2006/relationships/hyperlink" Target="https://dev.azure.com/ingenieria-requisitos/Conexi%C3%B3n360/_workitems/edit/343" TargetMode="External" Id="rId35"/><Relationship Type="http://schemas.openxmlformats.org/officeDocument/2006/relationships/hyperlink" Target="https://dev.azure.com/ingenieria-requisitos/Conexi%C3%B3n360/_workitems/edit/344" TargetMode="External" Id="rId36"/><Relationship Type="http://schemas.openxmlformats.org/officeDocument/2006/relationships/hyperlink" Target="https://dev.azure.com/ingenieria-requisitos/Conexi%C3%B3n360/_workitems/edit/345" TargetMode="External" Id="rId37"/><Relationship Type="http://schemas.openxmlformats.org/officeDocument/2006/relationships/hyperlink" Target="https://dev.azure.com/ingenieria-requisitos/Conexi%C3%B3n360/_workitems/edit/346" TargetMode="External" Id="rId38"/><Relationship Type="http://schemas.openxmlformats.org/officeDocument/2006/relationships/hyperlink" Target="https://dev.azure.com/ingenieria-requisitos/Conexi%C3%B3n360/_workitems/edit/347" TargetMode="External" Id="rId39"/><Relationship Type="http://schemas.openxmlformats.org/officeDocument/2006/relationships/hyperlink" Target="https://dev.azure.com/ingenieria-requisitos/Conexi%C3%B3n360/_workitems/edit/348" TargetMode="External" Id="rId40"/><Relationship Type="http://schemas.openxmlformats.org/officeDocument/2006/relationships/hyperlink" Target="https://dev.azure.com/ingenieria-requisitos/Conexi%C3%B3n360/_workitems/edit/349" TargetMode="External" Id="rId41"/><Relationship Type="http://schemas.openxmlformats.org/officeDocument/2006/relationships/hyperlink" Target="https://dev.azure.com/ingenieria-requisitos/Conexi%C3%B3n360/_workitems/edit/350" TargetMode="External" Id="rId42"/><Relationship Type="http://schemas.openxmlformats.org/officeDocument/2006/relationships/hyperlink" Target="https://dev.azure.com/ingenieria-requisitos/Conexi%C3%B3n360/_workitems/edit/351" TargetMode="External" Id="rId43"/><Relationship Type="http://schemas.openxmlformats.org/officeDocument/2006/relationships/hyperlink" Target="https://dev.azure.com/ingenieria-requisitos/Conexi%C3%B3n360/_workitems/edit/352" TargetMode="External" Id="rId44"/><Relationship Type="http://schemas.openxmlformats.org/officeDocument/2006/relationships/hyperlink" Target="https://dev.azure.com/ingenieria-requisitos/Conexi%C3%B3n360/_workitems/edit/353" TargetMode="External" Id="rId45"/><Relationship Type="http://schemas.openxmlformats.org/officeDocument/2006/relationships/hyperlink" Target="https://dev.azure.com/ingenieria-requisitos/Conexi%C3%B3n360/_workitems/edit/354" TargetMode="External" Id="rId46"/><Relationship Type="http://schemas.openxmlformats.org/officeDocument/2006/relationships/hyperlink" Target="https://dev.azure.com/ingenieria-requisitos/Conexi%C3%B3n360/_workitems/edit/355" TargetMode="External" Id="rId47"/><Relationship Type="http://schemas.openxmlformats.org/officeDocument/2006/relationships/hyperlink" Target="https://dev.azure.com/ingenieria-requisitos/Conexi%C3%B3n360/_workitems/edit/356" TargetMode="External" Id="rId48"/><Relationship Type="http://schemas.openxmlformats.org/officeDocument/2006/relationships/hyperlink" Target="https://dev.azure.com/ingenieria-requisitos/Conexi%C3%B3n360/_workitems/edit/357" TargetMode="External" Id="rId49"/><Relationship Type="http://schemas.openxmlformats.org/officeDocument/2006/relationships/hyperlink" Target="https://dev.azure.com/ingenieria-requisitos/Conexi%C3%B3n360/_workitems/edit/358" TargetMode="External" Id="rId50"/><Relationship Type="http://schemas.openxmlformats.org/officeDocument/2006/relationships/hyperlink" Target="https://dev.azure.com/ingenieria-requisitos/Conexi%C3%B3n360/_workitems/edit/359" TargetMode="External" Id="rId51"/><Relationship Type="http://schemas.openxmlformats.org/officeDocument/2006/relationships/hyperlink" Target="https://dev.azure.com/ingenieria-requisitos/Conexi%C3%B3n360/_workitems/edit/360" TargetMode="External" Id="rId52"/><Relationship Type="http://schemas.openxmlformats.org/officeDocument/2006/relationships/hyperlink" Target="https://dev.azure.com/ingenieria-requisitos/Conexi%C3%B3n360/_workitems/edit/361" TargetMode="External" Id="rId53"/><Relationship Type="http://schemas.openxmlformats.org/officeDocument/2006/relationships/hyperlink" Target="https://dev.azure.com/ingenieria-requisitos/Conexi%C3%B3n360/_workitems/edit/362" TargetMode="External" Id="rId54"/><Relationship Type="http://schemas.openxmlformats.org/officeDocument/2006/relationships/hyperlink" Target="https://dev.azure.com/ingenieria-requisitos/Conexi%C3%B3n360/_workitems/edit/363" TargetMode="External" Id="rId55"/><Relationship Type="http://schemas.openxmlformats.org/officeDocument/2006/relationships/hyperlink" Target="https://dev.azure.com/ingenieria-requisitos/Conexi%C3%B3n360/_workitems/edit/364" TargetMode="External" Id="rId56"/><Relationship Type="http://schemas.openxmlformats.org/officeDocument/2006/relationships/hyperlink" Target="https://dev.azure.com/ingenieria-requisitos/Conexi%C3%B3n360/_workitems/edit/365" TargetMode="External" Id="rId57"/><Relationship Type="http://schemas.openxmlformats.org/officeDocument/2006/relationships/hyperlink" Target="https://dev.azure.com/ingenieria-requisitos/Conexi%C3%B3n360/_workitems/edit/366" TargetMode="External" Id="rId58"/><Relationship Type="http://schemas.openxmlformats.org/officeDocument/2006/relationships/hyperlink" Target="https://dev.azure.com/ingenieria-requisitos/Conexi%C3%B3n360/_workitems/edit/367" TargetMode="External" Id="rId59"/><Relationship Type="http://schemas.openxmlformats.org/officeDocument/2006/relationships/hyperlink" Target="https://dev.azure.com/ingenieria-requisitos/Conexi%C3%B3n360/_workitems/edit/368" TargetMode="External" Id="rId60"/><Relationship Type="http://schemas.openxmlformats.org/officeDocument/2006/relationships/hyperlink" Target="https://dev.azure.com/ingenieria-requisitos/Conexi%C3%B3n360/_workitems/edit/369" TargetMode="External" Id="rId61"/><Relationship Type="http://schemas.openxmlformats.org/officeDocument/2006/relationships/hyperlink" Target="https://dev.azure.com/ingenieria-requisitos/Conexi%C3%B3n360/_workitems/edit/370" TargetMode="External" Id="rId62"/><Relationship Type="http://schemas.openxmlformats.org/officeDocument/2006/relationships/hyperlink" Target="https://dev.azure.com/ingenieria-requisitos/Conexi%C3%B3n360/_workitems/edit/371" TargetMode="External" Id="rId63"/><Relationship Type="http://schemas.openxmlformats.org/officeDocument/2006/relationships/hyperlink" Target="https://dev.azure.com/ingenieria-requisitos/Conexi%C3%B3n360/_workitems/edit/372" TargetMode="External" Id="rId64"/><Relationship Type="http://schemas.openxmlformats.org/officeDocument/2006/relationships/hyperlink" Target="https://dev.azure.com/ingenieria-requisitos/Conexi%C3%B3n360/_workitems/edit/373" TargetMode="External" Id="rId65"/><Relationship Type="http://schemas.openxmlformats.org/officeDocument/2006/relationships/hyperlink" Target="https://dev.azure.com/ingenieria-requisitos/Conexi%C3%B3n360/_workitems/edit/374" TargetMode="External" Id="rId66"/><Relationship Type="http://schemas.openxmlformats.org/officeDocument/2006/relationships/hyperlink" Target="https://dev.azure.com/ingenieria-requisitos/Conexi%C3%B3n360/_workitems/edit/375" TargetMode="External" Id="rId67"/><Relationship Type="http://schemas.openxmlformats.org/officeDocument/2006/relationships/hyperlink" Target="https://dev.azure.com/ingenieria-requisitos/Conexi%C3%B3n360/_workitems/edit/376" TargetMode="External" Id="rId68"/><Relationship Type="http://schemas.openxmlformats.org/officeDocument/2006/relationships/hyperlink" Target="https://dev.azure.com/ingenieria-requisitos/Conexi%C3%B3n360/_workitems/edit/377" TargetMode="External" Id="rId69"/><Relationship Type="http://schemas.openxmlformats.org/officeDocument/2006/relationships/hyperlink" Target="https://dev.azure.com/ingenieria-requisitos/Conexi%C3%B3n360/_workitems/edit/378" TargetMode="External" Id="rId70"/><Relationship Type="http://schemas.openxmlformats.org/officeDocument/2006/relationships/hyperlink" Target="https://dev.azure.com/ingenieria-requisitos/Conexi%C3%B3n360/_workitems/edit/379" TargetMode="External" Id="rId71"/><Relationship Type="http://schemas.openxmlformats.org/officeDocument/2006/relationships/hyperlink" Target="https://dev.azure.com/ingenieria-requisitos/Conexi%C3%B3n360/_workitems/edit/380" TargetMode="External" Id="rId72"/><Relationship Type="http://schemas.openxmlformats.org/officeDocument/2006/relationships/hyperlink" Target="https://dev.azure.com/ingenieria-requisitos/Conexi%C3%B3n360/_workitems/edit/381" TargetMode="External" Id="rId73"/><Relationship Type="http://schemas.openxmlformats.org/officeDocument/2006/relationships/hyperlink" Target="https://dev.azure.com/ingenieria-requisitos/Conexi%C3%B3n360/_workitems/edit/382" TargetMode="External" Id="rId74"/><Relationship Type="http://schemas.openxmlformats.org/officeDocument/2006/relationships/hyperlink" Target="https://dev.azure.com/ingenieria-requisitos/Conexi%C3%B3n360/_workitems/edit/383" TargetMode="External" Id="rId75"/><Relationship Type="http://schemas.openxmlformats.org/officeDocument/2006/relationships/hyperlink" Target="https://dev.azure.com/ingenieria-requisitos/Conexi%C3%B3n360/_workitems/edit/384" TargetMode="External" Id="rId76"/><Relationship Type="http://schemas.openxmlformats.org/officeDocument/2006/relationships/hyperlink" Target="https://dev.azure.com/ingenieria-requisitos/Conexi%C3%B3n360/_workitems/edit/385" TargetMode="External" Id="rId77"/></Relationships>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60" customWidth="1" min="2" max="2"/>
    <col width="10" customWidth="1" min="3" max="3"/>
    <col width="12" customWidth="1" min="4" max="4"/>
    <col width="14" customWidth="1" min="5" max="5"/>
    <col width="14" customWidth="1" min="6" max="6"/>
  </cols>
  <sheetData>
    <row r="1">
      <c r="A1" s="1" t="inlineStr">
        <is>
          <t>Resultados de pruebas - Conexión360</t>
        </is>
      </c>
    </row>
    <row r="2">
      <c r="A2" s="2" t="inlineStr">
        <is>
          <t>Generado: 2026-10-18 17:10  ·  Casos: Azure DevOps ingenieria-requisitos / Conexión360 (lectura por MCP) (2026-10-17)  ·  Ejecuciones de Katalon leídas: 42</t>
        </is>
      </c>
    </row>
    <row r="4">
      <c r="A4" s="3" t="inlineStr">
        <is>
          <t>Resultado</t>
        </is>
      </c>
      <c r="B4" s="3" t="inlineStr">
        <is>
          <t>Casos</t>
        </is>
      </c>
      <c r="C4" s="3" t="inlineStr">
        <is>
          <t>% del total</t>
        </is>
      </c>
    </row>
    <row r="5">
      <c r="A5" s="4" t="inlineStr">
        <is>
          <t>Pasó</t>
        </is>
      </c>
      <c r="B5" s="4">
        <f>COUNTIF(Detalle!$H$2:$H$78,A5)</f>
        <v/>
      </c>
      <c r="C5" s="5">
        <f>IF($B$11=0,0,B5/$B$11)</f>
        <v/>
      </c>
    </row>
    <row r="6">
      <c r="A6" s="4" t="inlineStr">
        <is>
          <t>Falló</t>
        </is>
      </c>
      <c r="B6" s="4">
        <f>COUNTIF(Detalle!$H$2:$H$78,A6)</f>
        <v/>
      </c>
      <c r="C6" s="5">
        <f>IF($B$11=0,0,B6/$B$11)</f>
        <v/>
      </c>
    </row>
    <row r="7">
      <c r="A7" s="4" t="inlineStr">
        <is>
          <t>Error</t>
        </is>
      </c>
      <c r="B7" s="4">
        <f>COUNTIF(Detalle!$H$2:$H$78,A7)</f>
        <v/>
      </c>
      <c r="C7" s="5">
        <f>IF($B$11=0,0,B7/$B$11)</f>
        <v/>
      </c>
    </row>
    <row r="8">
      <c r="A8" s="4" t="inlineStr">
        <is>
          <t>Bloqueado</t>
        </is>
      </c>
      <c r="B8" s="4">
        <f>COUNTIF(Detalle!$H$2:$H$78,A8)</f>
        <v/>
      </c>
      <c r="C8" s="5">
        <f>IF($B$11=0,0,B8/$B$11)</f>
        <v/>
      </c>
    </row>
    <row r="9">
      <c r="A9" s="4" t="inlineStr">
        <is>
          <t>No ejecutado</t>
        </is>
      </c>
      <c r="B9" s="4">
        <f>COUNTIF(Detalle!$H$2:$H$78,A9)</f>
        <v/>
      </c>
      <c r="C9" s="5">
        <f>IF($B$11=0,0,B9/$B$11)</f>
        <v/>
      </c>
    </row>
    <row r="10">
      <c r="A10" s="4" t="inlineStr">
        <is>
          <t>Pendiente manual</t>
        </is>
      </c>
      <c r="B10" s="4">
        <f>COUNTIF(Detalle!$H$2:$H$78,A10)</f>
        <v/>
      </c>
      <c r="C10" s="5">
        <f>IF($B$11=0,0,B10/$B$11)</f>
        <v/>
      </c>
    </row>
    <row r="11">
      <c r="A11" s="6" t="inlineStr">
        <is>
          <t>Total</t>
        </is>
      </c>
      <c r="B11" s="6">
        <f>SUM(B5:B10)</f>
        <v/>
      </c>
      <c r="C11" s="7">
        <f>IF(B11=0,0,B11/B11)</f>
        <v/>
      </c>
    </row>
    <row r="12">
      <c r="A12" s="6" t="inlineStr">
        <is>
          <t>Ejecutados</t>
        </is>
      </c>
      <c r="B12" s="6">
        <f>B5+B6+B7</f>
        <v/>
      </c>
      <c r="C12" s="7" t="n"/>
    </row>
    <row r="13">
      <c r="A13" s="6" t="inlineStr">
        <is>
          <t>% de aprobación (pasó / ejecutados)</t>
        </is>
      </c>
      <c r="B13" s="7">
        <f>IF(B12=0,0,B5/B12)</f>
        <v/>
      </c>
      <c r="C13" s="7" t="n"/>
    </row>
    <row r="15">
      <c r="A15" s="3" t="inlineStr">
        <is>
          <t>Tipo de caso</t>
        </is>
      </c>
      <c r="B15" s="3" t="inlineStr">
        <is>
          <t>Casos</t>
        </is>
      </c>
      <c r="C15" s="3" t="inlineStr">
        <is>
          <t>Pasó</t>
        </is>
      </c>
      <c r="D15" s="3" t="inlineStr">
        <is>
          <t>Falló / Error</t>
        </is>
      </c>
      <c r="E15" s="3" t="inlineStr">
        <is>
          <t>Sin ejecutar</t>
        </is>
      </c>
    </row>
    <row r="16">
      <c r="A16" s="4" t="inlineStr">
        <is>
          <t>Automatizado</t>
        </is>
      </c>
      <c r="B16" s="4">
        <f>COUNTIF(Detalle!$E$2:$E$78,A16)</f>
        <v/>
      </c>
      <c r="C16" s="4">
        <f>COUNTIFS(Detalle!$E$2:$E$78,A16,Detalle!$H$2:$H$78,"Pasó")</f>
        <v/>
      </c>
      <c r="D16" s="4">
        <f>COUNTIFS(Detalle!$E$2:$E$78,A16,Detalle!$H$2:$H$78,"Falló")+COUNTIFS(Detalle!$E$2:$E$78,A16,Detalle!$H$2:$H$78,"Error")</f>
        <v/>
      </c>
      <c r="E16" s="4">
        <f>B16-C16-D16</f>
        <v/>
      </c>
    </row>
    <row r="17">
      <c r="A17" s="4" t="inlineStr">
        <is>
          <t>Automatizado parcial</t>
        </is>
      </c>
      <c r="B17" s="4">
        <f>COUNTIF(Detalle!$E$2:$E$78,A17)</f>
        <v/>
      </c>
      <c r="C17" s="4">
        <f>COUNTIFS(Detalle!$E$2:$E$78,A17,Detalle!$H$2:$H$78,"Pasó")</f>
        <v/>
      </c>
      <c r="D17" s="4">
        <f>COUNTIFS(Detalle!$E$2:$E$78,A17,Detalle!$H$2:$H$78,"Falló")+COUNTIFS(Detalle!$E$2:$E$78,A17,Detalle!$H$2:$H$78,"Error")</f>
        <v/>
      </c>
      <c r="E17" s="4">
        <f>B17-C17-D17</f>
        <v/>
      </c>
    </row>
    <row r="18">
      <c r="A18" s="4" t="inlineStr">
        <is>
          <t>Manual</t>
        </is>
      </c>
      <c r="B18" s="4">
        <f>COUNTIF(Detalle!$E$2:$E$78,A18)</f>
        <v/>
      </c>
      <c r="C18" s="4">
        <f>COUNTIFS(Detalle!$E$2:$E$78,A18,Detalle!$H$2:$H$78,"Pasó")</f>
        <v/>
      </c>
      <c r="D18" s="4">
        <f>COUNTIFS(Detalle!$E$2:$E$78,A18,Detalle!$H$2:$H$78,"Falló")+COUNTIFS(Detalle!$E$2:$E$78,A18,Detalle!$H$2:$H$78,"Error")</f>
        <v/>
      </c>
      <c r="E18" s="4">
        <f>B18-C18-D18</f>
        <v/>
      </c>
    </row>
    <row r="20">
      <c r="A20" s="3" t="inlineStr">
        <is>
          <t>HU</t>
        </is>
      </c>
      <c r="B20" s="3" t="inlineStr">
        <is>
          <t>Historia de usuario</t>
        </is>
      </c>
      <c r="C20" s="3" t="inlineStr">
        <is>
          <t>Casos</t>
        </is>
      </c>
      <c r="D20" s="3" t="inlineStr">
        <is>
          <t>Pasó</t>
        </is>
      </c>
      <c r="E20" s="3" t="inlineStr">
        <is>
          <t>Falló / Error</t>
        </is>
      </c>
      <c r="F20" s="3" t="inlineStr">
        <is>
          <t>Sin ejecutar</t>
        </is>
      </c>
    </row>
    <row r="21">
      <c r="A21" s="8" t="n">
        <v>3</v>
      </c>
      <c r="B21" s="4" t="inlineStr">
        <is>
          <t>HU1: Visualización fechas estimadas</t>
        </is>
      </c>
      <c r="C21" s="4">
        <f>COUNTIF(HU_Caso!$A$2:$A$113,A21)</f>
        <v/>
      </c>
      <c r="D21" s="4">
        <f>COUNTIFS(HU_Caso!$A$2:$A$113,A21,HU_Caso!$D$2:$D$113,"Pasó")</f>
        <v/>
      </c>
      <c r="E21" s="4">
        <f>COUNTIFS(HU_Caso!$A$2:$A$113,A21,HU_Caso!$D$2:$D$113,"Falló")+COUNTIFS(HU_Caso!$A$2:$A$113,A21,HU_Caso!$D$2:$D$113,"Error")</f>
        <v/>
      </c>
      <c r="F21" s="4">
        <f>C21-D21-E21</f>
        <v/>
      </c>
    </row>
    <row r="22">
      <c r="A22" s="8" t="n">
        <v>28</v>
      </c>
      <c r="B22" s="4" t="inlineStr">
        <is>
          <t>HU1-Lista de mis envíos activos</t>
        </is>
      </c>
      <c r="C22" s="4">
        <f>COUNTIF(HU_Caso!$A$2:$A$113,A22)</f>
        <v/>
      </c>
      <c r="D22" s="4">
        <f>COUNTIFS(HU_Caso!$A$2:$A$113,A22,HU_Caso!$D$2:$D$113,"Pasó")</f>
        <v/>
      </c>
      <c r="E22" s="4">
        <f>COUNTIFS(HU_Caso!$A$2:$A$113,A22,HU_Caso!$D$2:$D$113,"Falló")+COUNTIFS(HU_Caso!$A$2:$A$113,A22,HU_Caso!$D$2:$D$113,"Error")</f>
        <v/>
      </c>
      <c r="F22" s="4">
        <f>C22-D22-E22</f>
        <v/>
      </c>
    </row>
    <row r="23">
      <c r="A23" s="8" t="n">
        <v>29</v>
      </c>
      <c r="B23" s="4" t="inlineStr">
        <is>
          <t>HU2-Visualizar los envíos asignados o disponibles</t>
        </is>
      </c>
      <c r="C23" s="4">
        <f>COUNTIF(HU_Caso!$A$2:$A$113,A23)</f>
        <v/>
      </c>
      <c r="D23" s="4">
        <f>COUNTIFS(HU_Caso!$A$2:$A$113,A23,HU_Caso!$D$2:$D$113,"Pasó")</f>
        <v/>
      </c>
      <c r="E23" s="4">
        <f>COUNTIFS(HU_Caso!$A$2:$A$113,A23,HU_Caso!$D$2:$D$113,"Falló")+COUNTIFS(HU_Caso!$A$2:$A$113,A23,HU_Caso!$D$2:$D$113,"Error")</f>
        <v/>
      </c>
      <c r="F23" s="4">
        <f>C23-D23-E23</f>
        <v/>
      </c>
    </row>
    <row r="24">
      <c r="A24" s="8" t="n">
        <v>30</v>
      </c>
      <c r="B24" s="4" t="inlineStr">
        <is>
          <t>HU3-Ver el detalle de un envío</t>
        </is>
      </c>
      <c r="C24" s="4">
        <f>COUNTIF(HU_Caso!$A$2:$A$113,A24)</f>
        <v/>
      </c>
      <c r="D24" s="4">
        <f>COUNTIFS(HU_Caso!$A$2:$A$113,A24,HU_Caso!$D$2:$D$113,"Pasó")</f>
        <v/>
      </c>
      <c r="E24" s="4">
        <f>COUNTIFS(HU_Caso!$A$2:$A$113,A24,HU_Caso!$D$2:$D$113,"Falló")+COUNTIFS(HU_Caso!$A$2:$A$113,A24,HU_Caso!$D$2:$D$113,"Error")</f>
        <v/>
      </c>
      <c r="F24" s="4">
        <f>C24-D24-E24</f>
        <v/>
      </c>
    </row>
    <row r="25">
      <c r="A25" s="8" t="n">
        <v>32</v>
      </c>
      <c r="B25" s="4" t="inlineStr">
        <is>
          <t>HU5-Visualizar el historial del envío</t>
        </is>
      </c>
      <c r="C25" s="4">
        <f>COUNTIF(HU_Caso!$A$2:$A$113,A25)</f>
        <v/>
      </c>
      <c r="D25" s="4">
        <f>COUNTIFS(HU_Caso!$A$2:$A$113,A25,HU_Caso!$D$2:$D$113,"Pasó")</f>
        <v/>
      </c>
      <c r="E25" s="4">
        <f>COUNTIFS(HU_Caso!$A$2:$A$113,A25,HU_Caso!$D$2:$D$113,"Falló")+COUNTIFS(HU_Caso!$A$2:$A$113,A25,HU_Caso!$D$2:$D$113,"Error")</f>
        <v/>
      </c>
      <c r="F25" s="4">
        <f>C25-D25-E25</f>
        <v/>
      </c>
    </row>
    <row r="26">
      <c r="A26" s="8" t="n">
        <v>33</v>
      </c>
      <c r="B26" s="4" t="inlineStr">
        <is>
          <t>HU6-Ver detalles completos del envío por medio de iconos</t>
        </is>
      </c>
      <c r="C26" s="4">
        <f>COUNTIF(HU_Caso!$A$2:$A$113,A26)</f>
        <v/>
      </c>
      <c r="D26" s="4">
        <f>COUNTIFS(HU_Caso!$A$2:$A$113,A26,HU_Caso!$D$2:$D$113,"Pasó")</f>
        <v/>
      </c>
      <c r="E26" s="4">
        <f>COUNTIFS(HU_Caso!$A$2:$A$113,A26,HU_Caso!$D$2:$D$113,"Falló")+COUNTIFS(HU_Caso!$A$2:$A$113,A26,HU_Caso!$D$2:$D$113,"Error")</f>
        <v/>
      </c>
      <c r="F26" s="4">
        <f>C26-D26-E26</f>
        <v/>
      </c>
    </row>
    <row r="27">
      <c r="A27" s="8" t="n">
        <v>34</v>
      </c>
      <c r="B27" s="4" t="inlineStr">
        <is>
          <t>HU7-Buscar un envío por número de guía</t>
        </is>
      </c>
      <c r="C27" s="4">
        <f>COUNTIF(HU_Caso!$A$2:$A$113,A27)</f>
        <v/>
      </c>
      <c r="D27" s="4">
        <f>COUNTIFS(HU_Caso!$A$2:$A$113,A27,HU_Caso!$D$2:$D$113,"Pasó")</f>
        <v/>
      </c>
      <c r="E27" s="4">
        <f>COUNTIFS(HU_Caso!$A$2:$A$113,A27,HU_Caso!$D$2:$D$113,"Falló")+COUNTIFS(HU_Caso!$A$2:$A$113,A27,HU_Caso!$D$2:$D$113,"Error")</f>
        <v/>
      </c>
      <c r="F27" s="4">
        <f>C27-D27-E27</f>
        <v/>
      </c>
    </row>
    <row r="28">
      <c r="A28" s="8" t="n">
        <v>37</v>
      </c>
      <c r="B28" s="4" t="inlineStr">
        <is>
          <t>HU10-Consolidar la información de los envíos en una única fuente centralizada</t>
        </is>
      </c>
      <c r="C28" s="4">
        <f>COUNTIF(HU_Caso!$A$2:$A$113,A28)</f>
        <v/>
      </c>
      <c r="D28" s="4">
        <f>COUNTIFS(HU_Caso!$A$2:$A$113,A28,HU_Caso!$D$2:$D$113,"Pasó")</f>
        <v/>
      </c>
      <c r="E28" s="4">
        <f>COUNTIFS(HU_Caso!$A$2:$A$113,A28,HU_Caso!$D$2:$D$113,"Falló")+COUNTIFS(HU_Caso!$A$2:$A$113,A28,HU_Caso!$D$2:$D$113,"Error")</f>
        <v/>
      </c>
      <c r="F28" s="4">
        <f>C28-D28-E28</f>
        <v/>
      </c>
    </row>
    <row r="29">
      <c r="A29" s="8" t="n">
        <v>38</v>
      </c>
      <c r="B29" s="4" t="inlineStr">
        <is>
          <t>HU11-Consultar información centralizada de mis envíos</t>
        </is>
      </c>
      <c r="C29" s="4">
        <f>COUNTIF(HU_Caso!$A$2:$A$113,A29)</f>
        <v/>
      </c>
      <c r="D29" s="4">
        <f>COUNTIFS(HU_Caso!$A$2:$A$113,A29,HU_Caso!$D$2:$D$113,"Pasó")</f>
        <v/>
      </c>
      <c r="E29" s="4">
        <f>COUNTIFS(HU_Caso!$A$2:$A$113,A29,HU_Caso!$D$2:$D$113,"Falló")+COUNTIFS(HU_Caso!$A$2:$A$113,A29,HU_Caso!$D$2:$D$113,"Error")</f>
        <v/>
      </c>
      <c r="F29" s="4">
        <f>C29-D29-E29</f>
        <v/>
      </c>
    </row>
    <row r="30">
      <c r="A30" s="8" t="n">
        <v>39</v>
      </c>
      <c r="B30" s="4" t="inlineStr">
        <is>
          <t>HU1-Actualizar automáticamente los estados de los envíos</t>
        </is>
      </c>
      <c r="C30" s="4">
        <f>COUNTIF(HU_Caso!$A$2:$A$113,A30)</f>
        <v/>
      </c>
      <c r="D30" s="4">
        <f>COUNTIFS(HU_Caso!$A$2:$A$113,A30,HU_Caso!$D$2:$D$113,"Pasó")</f>
        <v/>
      </c>
      <c r="E30" s="4">
        <f>COUNTIFS(HU_Caso!$A$2:$A$113,A30,HU_Caso!$D$2:$D$113,"Falló")+COUNTIFS(HU_Caso!$A$2:$A$113,A30,HU_Caso!$D$2:$D$113,"Error")</f>
        <v/>
      </c>
      <c r="F30" s="4">
        <f>C30-D30-E30</f>
        <v/>
      </c>
    </row>
    <row r="31">
      <c r="A31" s="8" t="n">
        <v>40</v>
      </c>
      <c r="B31" s="4" t="inlineStr">
        <is>
          <t>HU2-Integrar múltiples fuentes de datos</t>
        </is>
      </c>
      <c r="C31" s="4">
        <f>COUNTIF(HU_Caso!$A$2:$A$113,A31)</f>
        <v/>
      </c>
      <c r="D31" s="4">
        <f>COUNTIFS(HU_Caso!$A$2:$A$113,A31,HU_Caso!$D$2:$D$113,"Pasó")</f>
        <v/>
      </c>
      <c r="E31" s="4">
        <f>COUNTIFS(HU_Caso!$A$2:$A$113,A31,HU_Caso!$D$2:$D$113,"Falló")+COUNTIFS(HU_Caso!$A$2:$A$113,A31,HU_Caso!$D$2:$D$113,"Error")</f>
        <v/>
      </c>
      <c r="F31" s="4">
        <f>C31-D31-E31</f>
        <v/>
      </c>
    </row>
    <row r="32">
      <c r="A32" s="8" t="n">
        <v>41</v>
      </c>
      <c r="B32" s="4" t="inlineStr">
        <is>
          <t>HU1-Registrar cada cambio en los envíos</t>
        </is>
      </c>
      <c r="C32" s="4">
        <f>COUNTIF(HU_Caso!$A$2:$A$113,A32)</f>
        <v/>
      </c>
      <c r="D32" s="4">
        <f>COUNTIFS(HU_Caso!$A$2:$A$113,A32,HU_Caso!$D$2:$D$113,"Pasó")</f>
        <v/>
      </c>
      <c r="E32" s="4">
        <f>COUNTIFS(HU_Caso!$A$2:$A$113,A32,HU_Caso!$D$2:$D$113,"Falló")+COUNTIFS(HU_Caso!$A$2:$A$113,A32,HU_Caso!$D$2:$D$113,"Error")</f>
        <v/>
      </c>
      <c r="F32" s="4">
        <f>C32-D32-E32</f>
        <v/>
      </c>
    </row>
    <row r="33">
      <c r="A33" s="8" t="n">
        <v>42</v>
      </c>
      <c r="B33" s="4" t="inlineStr">
        <is>
          <t>HU2-Visualizar los cambios del envío</t>
        </is>
      </c>
      <c r="C33" s="4">
        <f>COUNTIF(HU_Caso!$A$2:$A$113,A33)</f>
        <v/>
      </c>
      <c r="D33" s="4">
        <f>COUNTIFS(HU_Caso!$A$2:$A$113,A33,HU_Caso!$D$2:$D$113,"Pasó")</f>
        <v/>
      </c>
      <c r="E33" s="4">
        <f>COUNTIFS(HU_Caso!$A$2:$A$113,A33,HU_Caso!$D$2:$D$113,"Falló")+COUNTIFS(HU_Caso!$A$2:$A$113,A33,HU_Caso!$D$2:$D$113,"Error")</f>
        <v/>
      </c>
      <c r="F33" s="4">
        <f>C33-D33-E33</f>
        <v/>
      </c>
    </row>
    <row r="34">
      <c r="A34" s="8" t="n">
        <v>43</v>
      </c>
      <c r="B34" s="4" t="inlineStr">
        <is>
          <t>HU1-Recibir notificaciones cuando el estado de mi envío cambie</t>
        </is>
      </c>
      <c r="C34" s="4">
        <f>COUNTIF(HU_Caso!$A$2:$A$113,A34)</f>
        <v/>
      </c>
      <c r="D34" s="4">
        <f>COUNTIFS(HU_Caso!$A$2:$A$113,A34,HU_Caso!$D$2:$D$113,"Pasó")</f>
        <v/>
      </c>
      <c r="E34" s="4">
        <f>COUNTIFS(HU_Caso!$A$2:$A$113,A34,HU_Caso!$D$2:$D$113,"Falló")+COUNTIFS(HU_Caso!$A$2:$A$113,A34,HU_Caso!$D$2:$D$113,"Error")</f>
        <v/>
      </c>
      <c r="F34" s="4">
        <f>C34-D34-E34</f>
        <v/>
      </c>
    </row>
    <row r="35">
      <c r="A35" s="8" t="n">
        <v>44</v>
      </c>
      <c r="B35" s="4" t="inlineStr">
        <is>
          <t>HU2-Enviar notificaciones automáticas basadas en eventos del sistema</t>
        </is>
      </c>
      <c r="C35" s="4">
        <f>COUNTIF(HU_Caso!$A$2:$A$113,A35)</f>
        <v/>
      </c>
      <c r="D35" s="4">
        <f>COUNTIFS(HU_Caso!$A$2:$A$113,A35,HU_Caso!$D$2:$D$113,"Pasó")</f>
        <v/>
      </c>
      <c r="E35" s="4">
        <f>COUNTIFS(HU_Caso!$A$2:$A$113,A35,HU_Caso!$D$2:$D$113,"Falló")+COUNTIFS(HU_Caso!$A$2:$A$113,A35,HU_Caso!$D$2:$D$113,"Error")</f>
        <v/>
      </c>
      <c r="F35" s="4">
        <f>C35-D35-E35</f>
        <v/>
      </c>
    </row>
    <row r="36">
      <c r="A36" s="8" t="n">
        <v>45</v>
      </c>
      <c r="B36" s="4" t="inlineStr">
        <is>
          <t>HU3-Reintentar el envío de notificaciones fallidas</t>
        </is>
      </c>
      <c r="C36" s="4">
        <f>COUNTIF(HU_Caso!$A$2:$A$113,A36)</f>
        <v/>
      </c>
      <c r="D36" s="4">
        <f>COUNTIFS(HU_Caso!$A$2:$A$113,A36,HU_Caso!$D$2:$D$113,"Pasó")</f>
        <v/>
      </c>
      <c r="E36" s="4">
        <f>COUNTIFS(HU_Caso!$A$2:$A$113,A36,HU_Caso!$D$2:$D$113,"Falló")+COUNTIFS(HU_Caso!$A$2:$A$113,A36,HU_Caso!$D$2:$D$113,"Error")</f>
        <v/>
      </c>
      <c r="F36" s="4">
        <f>C36-D36-E36</f>
        <v/>
      </c>
    </row>
    <row r="37">
      <c r="A37" s="8" t="n">
        <v>120</v>
      </c>
      <c r="B37" s="4" t="inlineStr">
        <is>
          <t>HU1: Dashboard indicadores</t>
        </is>
      </c>
      <c r="C37" s="4">
        <f>COUNTIF(HU_Caso!$A$2:$A$113,A37)</f>
        <v/>
      </c>
      <c r="D37" s="4">
        <f>COUNTIFS(HU_Caso!$A$2:$A$113,A37,HU_Caso!$D$2:$D$113,"Pasó")</f>
        <v/>
      </c>
      <c r="E37" s="4">
        <f>COUNTIFS(HU_Caso!$A$2:$A$113,A37,HU_Caso!$D$2:$D$113,"Falló")+COUNTIFS(HU_Caso!$A$2:$A$113,A37,HU_Caso!$D$2:$D$113,"Error")</f>
        <v/>
      </c>
      <c r="F37" s="4">
        <f>C37-D37-E37</f>
        <v/>
      </c>
    </row>
    <row r="38">
      <c r="A38" s="8" t="n">
        <v>121</v>
      </c>
      <c r="B38" s="4" t="inlineStr">
        <is>
          <t>HU2: Inicio de sesión</t>
        </is>
      </c>
      <c r="C38" s="4">
        <f>COUNTIF(HU_Caso!$A$2:$A$113,A38)</f>
        <v/>
      </c>
      <c r="D38" s="4">
        <f>COUNTIFS(HU_Caso!$A$2:$A$113,A38,HU_Caso!$D$2:$D$113,"Pasó")</f>
        <v/>
      </c>
      <c r="E38" s="4">
        <f>COUNTIFS(HU_Caso!$A$2:$A$113,A38,HU_Caso!$D$2:$D$113,"Falló")+COUNTIFS(HU_Caso!$A$2:$A$113,A38,HU_Caso!$D$2:$D$113,"Error")</f>
        <v/>
      </c>
      <c r="F38" s="4">
        <f>C38-D38-E38</f>
        <v/>
      </c>
    </row>
    <row r="39">
      <c r="A39" s="8" t="n">
        <v>124</v>
      </c>
      <c r="B39" s="4" t="inlineStr">
        <is>
          <t>HU1: Gestión roles</t>
        </is>
      </c>
      <c r="C39" s="4">
        <f>COUNTIF(HU_Caso!$A$2:$A$113,A39)</f>
        <v/>
      </c>
      <c r="D39" s="4">
        <f>COUNTIFS(HU_Caso!$A$2:$A$113,A39,HU_Caso!$D$2:$D$113,"Pasó")</f>
        <v/>
      </c>
      <c r="E39" s="4">
        <f>COUNTIFS(HU_Caso!$A$2:$A$113,A39,HU_Caso!$D$2:$D$113,"Falló")+COUNTIFS(HU_Caso!$A$2:$A$113,A39,HU_Caso!$D$2:$D$113,"Error")</f>
        <v/>
      </c>
      <c r="F39" s="4">
        <f>C39-D39-E39</f>
        <v/>
      </c>
    </row>
    <row r="40">
      <c r="A40" s="8" t="n">
        <v>125</v>
      </c>
      <c r="B40" s="4" t="inlineStr">
        <is>
          <t>HU2: Control de Acceso</t>
        </is>
      </c>
      <c r="C40" s="4">
        <f>COUNTIF(HU_Caso!$A$2:$A$113,A40)</f>
        <v/>
      </c>
      <c r="D40" s="4">
        <f>COUNTIFS(HU_Caso!$A$2:$A$113,A40,HU_Caso!$D$2:$D$113,"Pasó")</f>
        <v/>
      </c>
      <c r="E40" s="4">
        <f>COUNTIFS(HU_Caso!$A$2:$A$113,A40,HU_Caso!$D$2:$D$113,"Falló")+COUNTIFS(HU_Caso!$A$2:$A$113,A40,HU_Caso!$D$2:$D$113,"Error")</f>
        <v/>
      </c>
      <c r="F40" s="4">
        <f>C40-D40-E40</f>
        <v/>
      </c>
    </row>
    <row r="41">
      <c r="A41" s="8" t="n">
        <v>126</v>
      </c>
      <c r="B41" s="4" t="inlineStr">
        <is>
          <t>HU3: Visualización envios</t>
        </is>
      </c>
      <c r="C41" s="4">
        <f>COUNTIF(HU_Caso!$A$2:$A$113,A41)</f>
        <v/>
      </c>
      <c r="D41" s="4">
        <f>COUNTIFS(HU_Caso!$A$2:$A$113,A41,HU_Caso!$D$2:$D$113,"Pasó")</f>
        <v/>
      </c>
      <c r="E41" s="4">
        <f>COUNTIFS(HU_Caso!$A$2:$A$113,A41,HU_Caso!$D$2:$D$113,"Falló")+COUNTIFS(HU_Caso!$A$2:$A$113,A41,HU_Caso!$D$2:$D$113,"Error")</f>
        <v/>
      </c>
      <c r="F41" s="4">
        <f>C41-D41-E41</f>
        <v/>
      </c>
    </row>
    <row r="42">
      <c r="A42" s="8" t="n">
        <v>127</v>
      </c>
      <c r="B42" s="4" t="inlineStr">
        <is>
          <t>HU4: Acceso envios clientes</t>
        </is>
      </c>
      <c r="C42" s="4">
        <f>COUNTIF(HU_Caso!$A$2:$A$113,A42)</f>
        <v/>
      </c>
      <c r="D42" s="4">
        <f>COUNTIFS(HU_Caso!$A$2:$A$113,A42,HU_Caso!$D$2:$D$113,"Pasó")</f>
        <v/>
      </c>
      <c r="E42" s="4">
        <f>COUNTIFS(HU_Caso!$A$2:$A$113,A42,HU_Caso!$D$2:$D$113,"Falló")+COUNTIFS(HU_Caso!$A$2:$A$113,A42,HU_Caso!$D$2:$D$113,"Error")</f>
        <v/>
      </c>
      <c r="F42" s="4">
        <f>C42-D42-E42</f>
        <v/>
      </c>
    </row>
    <row r="43">
      <c r="A43" s="8" t="n">
        <v>129</v>
      </c>
      <c r="B43" s="4" t="inlineStr">
        <is>
          <t>HU6: Validación permisos API</t>
        </is>
      </c>
      <c r="C43" s="4">
        <f>COUNTIF(HU_Caso!$A$2:$A$113,A43)</f>
        <v/>
      </c>
      <c r="D43" s="4">
        <f>COUNTIFS(HU_Caso!$A$2:$A$113,A43,HU_Caso!$D$2:$D$113,"Pasó")</f>
        <v/>
      </c>
      <c r="E43" s="4">
        <f>COUNTIFS(HU_Caso!$A$2:$A$113,A43,HU_Caso!$D$2:$D$113,"Falló")+COUNTIFS(HU_Caso!$A$2:$A$113,A43,HU_Caso!$D$2:$D$113,"Error")</f>
        <v/>
      </c>
      <c r="F43" s="4">
        <f>C43-D43-E43</f>
        <v/>
      </c>
    </row>
    <row r="44">
      <c r="A44" s="8" t="n">
        <v>209</v>
      </c>
      <c r="B44" s="4" t="inlineStr">
        <is>
          <t>HU1: Proteger la aplicación contra ataques</t>
        </is>
      </c>
      <c r="C44" s="4">
        <f>COUNTIF(HU_Caso!$A$2:$A$113,A44)</f>
        <v/>
      </c>
      <c r="D44" s="4">
        <f>COUNTIFS(HU_Caso!$A$2:$A$113,A44,HU_Caso!$D$2:$D$113,"Pasó")</f>
        <v/>
      </c>
      <c r="E44" s="4">
        <f>COUNTIFS(HU_Caso!$A$2:$A$113,A44,HU_Caso!$D$2:$D$113,"Falló")+COUNTIFS(HU_Caso!$A$2:$A$113,A44,HU_Caso!$D$2:$D$113,"Error")</f>
        <v/>
      </c>
      <c r="F44" s="4">
        <f>C44-D44-E44</f>
        <v/>
      </c>
    </row>
    <row r="45">
      <c r="A45" s="8" t="n">
        <v>214</v>
      </c>
      <c r="B45" s="4" t="inlineStr">
        <is>
          <t>HU6: Bloquear acceso tras 3 intentos fallidos</t>
        </is>
      </c>
      <c r="C45" s="4">
        <f>COUNTIF(HU_Caso!$A$2:$A$113,A45)</f>
        <v/>
      </c>
      <c r="D45" s="4">
        <f>COUNTIFS(HU_Caso!$A$2:$A$113,A45,HU_Caso!$D$2:$D$113,"Pasó")</f>
        <v/>
      </c>
      <c r="E45" s="4">
        <f>COUNTIFS(HU_Caso!$A$2:$A$113,A45,HU_Caso!$D$2:$D$113,"Falló")+COUNTIFS(HU_Caso!$A$2:$A$113,A45,HU_Caso!$D$2:$D$113,"Error")</f>
        <v/>
      </c>
      <c r="F45" s="4">
        <f>C45-D45-E45</f>
        <v/>
      </c>
    </row>
    <row r="47">
      <c r="A47" s="2" t="inlineStr">
        <is>
          <t>Un caso enlazado a varias HU cuenta en cada una de ellas.</t>
        </is>
      </c>
    </row>
  </sheetData>
  <conditionalFormatting sqref="A5:A10">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1" customWidth="1" min="3" max="3"/>
    <col width="40" customWidth="1" min="4" max="4"/>
    <col width="60" customWidth="1" min="5" max="5"/>
    <col width="45" customWidth="1" min="6" max="6"/>
    <col width="18" customWidth="1" min="7" max="7"/>
    <col width="36" customWidth="1" min="8" max="8"/>
    <col width="40" customWidth="1" min="9" max="9"/>
  </cols>
  <sheetData>
    <row r="1">
      <c r="A1" s="1" t="inlineStr">
        <is>
          <t>Hallazgos de la revisión</t>
        </is>
      </c>
    </row>
    <row r="2">
      <c r="A2" s="2" t="inlineStr">
        <is>
          <t>Revisión estática del código (Conexion360_front, Connection360ApiCore) y de los test cases de Azure DevOps. No proviene de ejecuciones. (2026-10-17)</t>
        </is>
      </c>
    </row>
    <row r="4">
      <c r="A4" s="3" t="inlineStr">
        <is>
          <t>ID</t>
        </is>
      </c>
      <c r="B4" s="3" t="inlineStr">
        <is>
          <t>Categoría</t>
        </is>
      </c>
      <c r="C4" s="3" t="inlineStr">
        <is>
          <t>Severidad</t>
        </is>
      </c>
      <c r="D4" s="3" t="inlineStr">
        <is>
          <t>Hallazgo</t>
        </is>
      </c>
      <c r="E4" s="3" t="inlineStr">
        <is>
          <t>Detalle</t>
        </is>
      </c>
      <c r="F4" s="3" t="inlineStr">
        <is>
          <t>Evidencia</t>
        </is>
      </c>
      <c r="G4" s="3" t="inlineStr">
        <is>
          <t>Casos de Azure</t>
        </is>
      </c>
      <c r="H4" s="3" t="inlineStr">
        <is>
          <t>Estado</t>
        </is>
      </c>
      <c r="I4" s="3" t="inlineStr">
        <is>
          <t>Recomendación</t>
        </is>
      </c>
    </row>
    <row r="5">
      <c r="A5" s="9" t="inlineStr">
        <is>
          <t>H-01</t>
        </is>
      </c>
      <c r="B5" s="8" t="inlineStr">
        <is>
          <t>Seguridad</t>
        </is>
      </c>
      <c r="C5" s="10" t="inlineStr">
        <is>
          <t>Crítica</t>
        </is>
      </c>
      <c r="D5" s="11" t="inlineStr">
        <is>
          <t>Un cliente puede consultar los envíos de otro cliente cambiando el idClient de la petición</t>
        </is>
      </c>
      <c r="E5" s="12" t="inlineStr">
        <is>
          <t>La API toma el idClient del query string y filtra con él. Para el rol CLIENT no lo compara con el usuario del token: el ClientAccessResolver devuelve una lista vacía sin validar y la lectura de los claims del usuario está comentada. Afecta a myshipments (allshipments, filterShipments, allhistory, filterhistory, detailsshipments), home (totals, filters) y reports/home. El API Gateway no reescribe el parámetro.</t>
        </is>
      </c>
      <c r="F5" s="12" t="inlineStr">
        <is>
          <t>Connection360.Api/Controllers/MyShipmentsController.cs:44-57; Connection360.Application/UseCases/GetMyShipmentsUseCase.cs:43-50; Connection360.Application/Services/ClientAccessResolver.cs:26-27; Connection360.Api/Controllers/HomeController.cs:105-111 (comentado); Connection360.ApiGateway/appsettings.json (ReverseProxy: solo agrega X-Forwarded-By)</t>
        </is>
      </c>
      <c r="G5" s="12" t="inlineStr">
        <is>
          <t>318, 357, 365</t>
        </is>
      </c>
      <c r="H5" s="12" t="inlineStr">
        <is>
          <t>Detectado en el código. Se espera que 318 y 365 FALLEN al ejecutarlos.</t>
        </is>
      </c>
      <c r="I5" s="12" t="inlineStr">
        <is>
          <t>Tomar el documento del cliente desde el token (claim) en el backend y rechazar (403) cualquier idClient distinto.</t>
        </is>
      </c>
    </row>
    <row r="6">
      <c r="A6" s="9" t="inlineStr">
        <is>
          <t>H-02</t>
        </is>
      </c>
      <c r="B6" s="8" t="inlineStr">
        <is>
          <t>Seguridad</t>
        </is>
      </c>
      <c r="C6" s="13" t="inlineStr">
        <is>
          <t>Alta</t>
        </is>
      </c>
      <c r="D6" s="11" t="inlineStr">
        <is>
          <t>Un analista puede ver los clientes asignados a otro colaborador</t>
        </is>
      </c>
      <c r="E6" s="12" t="inlineStr">
        <is>
          <t>Para ANALISTAOPE y ANALISTASAC, los clientes permitidos se buscan con el idClient recibido en la URL (GetCustomersByCollaboratorAsync(request.IdClient)). Si el analista envía el documento de otro colaborador, obtiene los clientes de ese colaborador.</t>
        </is>
      </c>
      <c r="F6" s="12" t="inlineStr">
        <is>
          <t>Connection360.Application/Services/ClientAccessResolver.cs:26-46</t>
        </is>
      </c>
      <c r="G6" s="12" t="inlineStr">
        <is>
          <t>359</t>
        </is>
      </c>
      <c r="H6" s="12" t="inlineStr">
        <is>
          <t>Detectado en el código. El TC359 solo valida la interfaz y no lo detecta; falta un caso de API.</t>
        </is>
      </c>
      <c r="I6" s="12" t="inlineStr">
        <is>
          <t>Igual que H-01: identificar al colaborador por el token. Agregar en Azure un caso de API para analistas.</t>
        </is>
      </c>
    </row>
    <row r="7">
      <c r="A7" s="9" t="inlineStr">
        <is>
          <t>H-03</t>
        </is>
      </c>
      <c r="B7" s="8" t="inlineStr">
        <is>
          <t>Seguridad</t>
        </is>
      </c>
      <c r="C7" s="10" t="inlineStr">
        <is>
          <t>Crítica</t>
        </is>
      </c>
      <c r="D7" s="11" t="inlineStr">
        <is>
          <t>Cuatro servicios sin autenticación permiten crear datos</t>
        </is>
      </c>
      <c r="E7" s="12" t="inlineStr">
        <is>
          <t>GET /settings/createcustomerdb, GET /settings/createcollaboratordb, GET /settings/createcustomercollaboratordb y POST /settings/generatenotificationOutboxTest están marcados con [AllowAnonymous]. Los tres GET crean registros en la base de datos, y el POST genera eventos de notificación.</t>
        </is>
      </c>
      <c r="F7" s="12" t="inlineStr">
        <is>
          <t>Connection360.Api/Controllers/SettingsController.cs:276-325</t>
        </is>
      </c>
      <c r="G7" s="12" t="inlineStr">
        <is>
          <t>378</t>
        </is>
      </c>
      <c r="H7" s="12" t="inlineStr">
        <is>
          <t>Detectado en el código. El TC378 FALLARÁ y, al ejecutarlo, creará los NIT de prueba 999000111 y 999000112: no correrlo en el ambiente compartido hasta corregir.</t>
        </is>
      </c>
      <c r="I7" s="12" t="inlineStr">
        <is>
          <t>Quitar [AllowAnonymous] (o retirar los servicios de prueba del despliegue) y no crear datos con métodos GET.</t>
        </is>
      </c>
    </row>
    <row r="8">
      <c r="A8" s="9" t="inlineStr">
        <is>
          <t>H-04</t>
        </is>
      </c>
      <c r="B8" s="8" t="inlineStr">
        <is>
          <t>Seguridad</t>
        </is>
      </c>
      <c r="C8" s="10" t="inlineStr">
        <is>
          <t>Crítica</t>
        </is>
      </c>
      <c r="D8" s="11" t="inlineStr">
        <is>
          <t>Un servicio sin autenticación devuelve todas las notificaciones de todos los clientes</t>
        </is>
      </c>
      <c r="E8" s="12" t="inlineStr">
        <is>
          <t>GET /notifications/allnotificationslistTest está marcado con [AllowAnonymous] y devuelve la lista completa de notificaciones almacenadas, sin filtrar por cliente.</t>
        </is>
      </c>
      <c r="F8" s="12" t="inlineStr">
        <is>
          <t>Connection360Notification.Api/Controllers/NotificationsController.cs:91-99</t>
        </is>
      </c>
      <c r="G8" s="12" t="inlineStr">
        <is>
          <t>378, 367</t>
        </is>
      </c>
      <c r="H8" s="12" t="inlineStr">
        <is>
          <t>Detectado en el código.</t>
        </is>
      </c>
      <c r="I8" s="12" t="inlineStr">
        <is>
          <t>Eliminar el servicio de prueba o exigir autenticación y filtrar por cliente.</t>
        </is>
      </c>
    </row>
    <row r="9">
      <c r="A9" s="9" t="inlineStr">
        <is>
          <t>H-05</t>
        </is>
      </c>
      <c r="B9" s="8" t="inlineStr">
        <is>
          <t>Seguridad</t>
        </is>
      </c>
      <c r="C9" s="14" t="inlineStr">
        <is>
          <t>Media</t>
        </is>
      </c>
      <c r="D9" s="11" t="inlineStr">
        <is>
          <t>El API Gateway tiene credenciales escritas en el código y emite tokens con el mismo emisor que Auth0</t>
        </is>
      </c>
      <c r="E9" s="12" t="inlineStr">
        <is>
          <t>TokenEndpoints define tres clientes (admin-client, editor-client, reader-client) con sus secretos en el código y firma tokens con el mismo Issuer y Audience que usa Auth0. La API valida la firma con las llaves de Auth0 (Authority), así que lo más probable es que rechace esos tokens, pero hay que confirmarlo.</t>
        </is>
      </c>
      <c r="F9" s="12" t="inlineStr">
        <is>
          <t>Connection360.ApiGateway/Endpoints/TokenEndpoints.cs:42-55; Connection360.ApiGateway/appsettings.json:10-11; Connection360.Api/Extensions/ServiceCollectionExtensions.cs:120-130</t>
        </is>
      </c>
      <c r="G9" s="12" t="inlineStr">
        <is>
          <t>384</t>
        </is>
      </c>
      <c r="H9" s="12" t="inlineStr">
        <is>
          <t>Por confirmar con el TC384 (manual).</t>
        </is>
      </c>
      <c r="I9" s="12" t="inlineStr">
        <is>
          <t>Sacar los secretos del código (User Secrets o Key Vault) y usar un emisor propio para los tokens del Gateway.</t>
        </is>
      </c>
    </row>
    <row r="10">
      <c r="A10" s="9" t="inlineStr">
        <is>
          <t>H-06</t>
        </is>
      </c>
      <c r="B10" s="8" t="inlineStr">
        <is>
          <t>Funcional</t>
        </is>
      </c>
      <c r="C10" s="14" t="inlineStr">
        <is>
          <t>Media</t>
        </is>
      </c>
      <c r="D10" s="11" t="inlineStr">
        <is>
          <t>El ranking de clientes de Reportes muestra datos simulados</t>
        </is>
      </c>
      <c r="E10" s="12" t="inlineStr">
        <is>
          <t>GET /reports/home todavía no devuelve topClients, así que el front completa la tarjeta "Top clientes por cantidad de envíos" con datos simulados (mockTopClients). El ADMIN ve un ranking que no es real.</t>
        </is>
      </c>
      <c r="F10" s="12" t="inlineStr">
        <is>
          <t>Conexion360_front/src/app/core/services/api-reports.service.ts:34-49; Conexion360_front/src/app/mocks/data/mock-top-clients.ts</t>
        </is>
      </c>
      <c r="G10" s="12" t="inlineStr">
        <is>
          <t>374</t>
        </is>
      </c>
      <c r="H10" s="12" t="inlineStr">
        <is>
          <t>Detectado en el código. La parte del ADMIN del TC374 pasaría, pero con datos simulados.</t>
        </is>
      </c>
      <c r="I10" s="12" t="inlineStr">
        <is>
          <t>Implementar topClients en /reports/home (filtrado por rol) y retirar el mock.</t>
        </is>
      </c>
    </row>
    <row r="11">
      <c r="A11" s="9" t="inlineStr">
        <is>
          <t>H-07</t>
        </is>
      </c>
      <c r="B11" s="8" t="inlineStr">
        <is>
          <t>Casos de prueba</t>
        </is>
      </c>
      <c r="C11" s="14" t="inlineStr">
        <is>
          <t>Media</t>
        </is>
      </c>
      <c r="D11" s="11" t="inlineStr">
        <is>
          <t>Resultados esperados en Azure que no coinciden con la aplicación</t>
        </is>
      </c>
      <c r="E11" s="12" t="inlineStr">
        <is>
          <t>322: el buscador no es obligatorio; con el campo vacío se listan todos los envíos. 306 y 323: el mensaje real es "Ningún envío coincide con la búsqueda o los filtros seleccionados.". 304-306: no hay botón Buscar; la búsqueda es automática. 320: no existe una vista global separada. 340: el Dashboard no tiene totales por estado.</t>
        </is>
      </c>
      <c r="F11" s="12" t="inlineStr">
        <is>
          <t>Conexion360_front: core/utils/input-rules.ts (searchQuery.required = false); features/shipments/shipment-list/shipment-list.ts:262-268; features/dashboard/dashboard.ts:183-222</t>
        </is>
      </c>
      <c r="G11" s="12" t="inlineStr">
        <is>
          <t>304, 305, 306, 320, 322, 323, 340</t>
        </is>
      </c>
      <c r="H11" s="12" t="inlineStr">
        <is>
          <t>Los scripts de Katalon ya están ajustados al comportamiento real; falta actualizar los casos en Azure.</t>
        </is>
      </c>
      <c r="I11" s="12" t="inlineStr">
        <is>
          <t>Actualizar pasos y resultados esperados de esos casos en Azure DevOps.</t>
        </is>
      </c>
    </row>
    <row r="12">
      <c r="A12" s="9" t="inlineStr">
        <is>
          <t>H-08</t>
        </is>
      </c>
      <c r="B12" s="8" t="inlineStr">
        <is>
          <t>Trazabilidad</t>
        </is>
      </c>
      <c r="C12" s="15" t="inlineStr">
        <is>
          <t>Baja</t>
        </is>
      </c>
      <c r="D12" s="11" t="inlineStr">
        <is>
          <t>Enlaces invertidos y títulos repetidos en Azure</t>
        </is>
      </c>
      <c r="E12" s="12" t="inlineStr">
        <is>
          <t>La HU 35 está enlazada como "Tests" al caso 304. Las HU 338 y 339 (creadas como contenedores) usan "Tests" hacia 14 casos, en sentido invertido. Hay títulos repetidos entre HU distintas (por ejemplo, "Test HU2-1" en 309, 335, 341, 347 y 351).</t>
        </is>
      </c>
      <c r="F12" s="12" t="inlineStr">
        <is>
          <t>Consultas WIQL de vínculos User Story - Test Case (Azure DevOps, 2026-10-17)</t>
        </is>
      </c>
      <c r="G12" s="12" t="inlineStr">
        <is>
          <t>304, 340, 341, 344, 348, 349, 352, 369, 382, 329, 330, 331, 332, 333, 335</t>
        </is>
      </c>
      <c r="H12" s="12" t="inlineStr">
        <is>
          <t>Confirmado en Azure.</t>
        </is>
      </c>
      <c r="I12" s="12" t="inlineStr">
        <is>
          <t>Revisar con Iván si las HU contenedor son intencionales. Corregir el enlace del 304 y numerar los títulos con el ID de la HU.</t>
        </is>
      </c>
    </row>
    <row r="13">
      <c r="A13" s="9" t="inlineStr">
        <is>
          <t>H-09</t>
        </is>
      </c>
      <c r="B13" s="8" t="inlineStr">
        <is>
          <t>Cobertura</t>
        </is>
      </c>
      <c r="C13" s="14" t="inlineStr">
        <is>
          <t>Media</t>
        </is>
      </c>
      <c r="D13" s="11" t="inlineStr">
        <is>
          <t>HU cerradas sin test cases</t>
        </is>
      </c>
      <c r="E13" s="12" t="inlineStr">
        <is>
          <t>No tienen ningún caso enlazado con Tested By: 7 (Registro Plataforma), 31 (Ubicación en mapa), 35 (Búsqueda por múltiples criterios; solo tiene el enlace invertido al 304), 123 (Recuperación de contraseña) y 213 (Integridad de datos).</t>
        </is>
      </c>
      <c r="F13" s="12" t="inlineStr">
        <is>
          <t>BackLog.xlsx y vínculos de Azure DevOps (2026-10-17)</t>
        </is>
      </c>
      <c r="G13" s="12" t="inlineStr"/>
      <c r="H13" s="12" t="inlineStr">
        <is>
          <t>Confirmado en Azure.</t>
        </is>
      </c>
      <c r="I13" s="12" t="inlineStr">
        <is>
          <t>Crear al menos un caso por HU cerrada.</t>
        </is>
      </c>
    </row>
    <row r="14">
      <c r="A14" s="9" t="inlineStr">
        <is>
          <t>H-10</t>
        </is>
      </c>
      <c r="B14" s="8" t="inlineStr">
        <is>
          <t>Ambiente</t>
        </is>
      </c>
      <c r="C14" s="13" t="inlineStr">
        <is>
          <t>Alta</t>
        </is>
      </c>
      <c r="D14" s="11" t="inlineStr">
        <is>
          <t>La API devolvió 503 durante toda la ejecución del 18-oct y faltan usuarios de prueba</t>
        </is>
      </c>
      <c r="E14" s="12" t="inlineStr">
        <is>
          <t>El 2026-10-18 se ejecutaron los casos automatizados contra https://conexion360.space. La API (https://c360-api.edisonestival.workers.dev/api/v1) respondió 503 a todas las peticiones, incluso sin token, así que el proxy de Cloudflare no alcanza el backend. Las listas, el detalle y el Dashboard quedaron vacíos. Además, siguen en COMPLETAR los usuarios cliente sin envíos (C), Cliente D, ADMIN, analista y usuario sin rol. Las guías de prueba (HBLQA0001, HBLQA0003, HBLQA0004) son del NIT 900111222 y no del cliente usado, 3127584817.</t>
        </is>
      </c>
      <c r="F14" s="12" t="inlineStr">
        <is>
          <t>Reports/20261018_163618 (P1), Reports/20261018_165316 (Lote2), Reports/20261018_170614 (TS_Reejecucion). TC373 y TC351: 'responde 503 (esperado 401/403)'.</t>
        </is>
      </c>
      <c r="G14" s="12" t="inlineStr">
        <is>
          <t>304, 307, 308, 316, 318, 319, 321, 324, 325, 340, 341, 344, 349, 350, 351, 353, 356, 358, 359, 373, 374</t>
        </is>
      </c>
      <c r="H14" s="12" t="inlineStr">
        <is>
          <t>Bloqueante. Casi todos los fallos de esta ejecución son del ambiente y no de la aplicación.</t>
        </is>
      </c>
      <c r="I14" s="12" t="inlineStr">
        <is>
          <t>Levantar el backend detrás del Worker, completar los usuarios del Profile y cargar guías del cliente 3127584817 (o usar un cliente del NIT 900111222). Luego repetir P1, Lote2 y TS_Reejecucion.</t>
        </is>
      </c>
    </row>
    <row r="15">
      <c r="A15" s="9" t="inlineStr">
        <is>
          <t>H-11</t>
        </is>
      </c>
      <c r="B15" s="8" t="inlineStr">
        <is>
          <t>Casos de prueba</t>
        </is>
      </c>
      <c r="C15" s="13" t="inlineStr">
        <is>
          <t>Alta</t>
        </is>
      </c>
      <c r="D15" s="11" t="inlineStr">
        <is>
          <t>Casos que salieron Pasó el 18-oct sin haber probado nada (falsos positivos)</t>
        </is>
      </c>
      <c r="E15" s="12" t="inlineStr">
        <is>
          <t>357 y 365 verifican solo que la respuesta no contenga guías del Cliente B; la página de error del 503 tampoco las contiene, y en 365 los /home/totals propio y ajeno son el mismo 503. 317 acepta 'No se pudo cargar el detalle', que aparece por el 503. 313 usó el Cliente D con correo COMPLETAR, así que no bloqueó ninguna cuenta real. Estos resultados no son válidos.</t>
        </is>
      </c>
      <c r="F15" s="12" t="inlineStr">
        <is>
          <t>Scripts de TC357, TC365, TC317 y TC313; TS_Reejecucion 20261018_170614 y TS_P1_RutaCritica 20261018_163618.</t>
        </is>
      </c>
      <c r="G15" s="12" t="inlineStr">
        <is>
          <t>313, 317, 357, 365</t>
        </is>
      </c>
      <c r="H15" s="12" t="inlineStr">
        <is>
          <t>Resultados inválidos; repetir con el ambiente arriba.</t>
        </is>
      </c>
      <c r="I15" s="12" t="inlineStr">
        <is>
          <t>Agregar a 357 y 365 un paso de control como el de 318 (la consulta propia debe responder 200 con datos) antes de evaluar la consulta ajena. En 317, exigir 'Envío no encontrado' y no aceptar el error de carga.</t>
        </is>
      </c>
    </row>
    <row r="16">
      <c r="A16" s="9" t="inlineStr">
        <is>
          <t>H-12</t>
        </is>
      </c>
      <c r="B16" s="8" t="inlineStr">
        <is>
          <t>Automatización</t>
        </is>
      </c>
      <c r="C16" s="14" t="inlineStr">
        <is>
          <t>Media</t>
        </is>
      </c>
      <c r="D16" s="11" t="inlineStr">
        <is>
          <t>Dos defectos del keyword Helpers, corregidos el 18-oct</t>
        </is>
      </c>
      <c r="E16" s="12" t="inlineStr">
        <is>
          <t>(1) llamarApiCon usaba WebUI.executeAsyncJavaScript, que no existe en Katalon: todos los casos con llamadas a la API terminaban en Error. Ahora usa JavascriptExecutor.executeAsyncScript de Selenium. (2) css() y xpath() usaban el selector como id del TestObject; el self-healing lo usa como ruta de archivo y fallaba con las comillas (TC324). Ahora el id es un hash del selector.</t>
        </is>
      </c>
      <c r="F16" s="12" t="inlineStr">
        <is>
          <t>Keywords/conexion360/Helpers.groovy; errores MissingMethodException e InvalidPathException en Reports/20261018_163618 y 20261018_165316.</t>
        </is>
      </c>
      <c r="G16" s="12" t="inlineStr">
        <is>
          <t>318, 324, 351, 357, 365, 373</t>
        </is>
      </c>
      <c r="H16" s="12" t="inlineStr">
        <is>
          <t>Corregido. Los 6 casos se repitieron en TS_Reejecucion y ahora fallan o pasan por el ambiente, no por el script.</t>
        </is>
      </c>
      <c r="I16" s="12" t="inlineStr">
        <is>
          <t>Ninguna adicional.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34" customWidth="1" min="3" max="3"/>
    <col width="24" customWidth="1" min="4" max="4"/>
    <col width="15" customWidth="1" min="5" max="5"/>
    <col width="20" customWidth="1" min="6" max="6"/>
    <col width="44" customWidth="1" min="7" max="7"/>
    <col width="14" customWidth="1" min="8" max="8"/>
    <col width="11" customWidth="1" min="9" max="9"/>
    <col width="17" customWidth="1" min="10" max="10"/>
    <col width="22" customWidth="1" min="11" max="11"/>
    <col width="50" customWidth="1" min="12" max="12"/>
    <col width="36" customWidth="1" min="13" max="13"/>
    <col width="12" customWidth="1" min="14" max="14"/>
  </cols>
  <sheetData>
    <row r="1">
      <c r="A1" s="3" t="inlineStr">
        <is>
          <t>ID Azure</t>
        </is>
      </c>
      <c r="B1" s="3" t="inlineStr">
        <is>
          <t>Título</t>
        </is>
      </c>
      <c r="C1" s="3" t="inlineStr">
        <is>
          <t>HU</t>
        </is>
      </c>
      <c r="D1" s="3" t="inlineStr">
        <is>
          <t>Responsable</t>
        </is>
      </c>
      <c r="E1" s="3" t="inlineStr">
        <is>
          <t>Tipo</t>
        </is>
      </c>
      <c r="F1" s="3" t="inlineStr">
        <is>
          <t>Suite</t>
        </is>
      </c>
      <c r="G1" s="3" t="inlineStr">
        <is>
          <t>Caso Katalon</t>
        </is>
      </c>
      <c r="H1" s="3" t="inlineStr">
        <is>
          <t>Resultado</t>
        </is>
      </c>
      <c r="I1" s="3" t="inlineStr">
        <is>
          <t>Duración (s)</t>
        </is>
      </c>
      <c r="J1" s="3" t="inlineStr">
        <is>
          <t>Fecha ejecución</t>
        </is>
      </c>
      <c r="K1" s="3" t="inlineStr">
        <is>
          <t>Fuente del resultado</t>
        </is>
      </c>
      <c r="L1" s="3" t="inlineStr">
        <is>
          <t>Mensaje / observación</t>
        </is>
      </c>
      <c r="M1" s="3" t="inlineStr">
        <is>
          <t>Nota</t>
        </is>
      </c>
      <c r="N1" s="3" t="inlineStr">
        <is>
          <t>Hallazgos</t>
        </is>
      </c>
    </row>
    <row r="2">
      <c r="A2" s="16" t="n">
        <v>304</v>
      </c>
      <c r="B2" s="12" t="inlineStr">
        <is>
          <t>Test HU7-1- Verificar que se obtenga la información asociada a una guía</t>
        </is>
      </c>
      <c r="C2" s="12" t="inlineStr">
        <is>
          <t>34 - HU7-Buscar un envío por número de guía</t>
        </is>
      </c>
      <c r="D2" s="12" t="inlineStr">
        <is>
          <t>Yesid Alexander García López</t>
        </is>
      </c>
      <c r="E2" s="8" t="inlineStr">
        <is>
          <t>Automatizado</t>
        </is>
      </c>
      <c r="F2" s="12" t="inlineStr">
        <is>
          <t>TS_P1_RutaCritica</t>
        </is>
      </c>
      <c r="G2" s="12" t="inlineStr">
        <is>
          <t>Test Cases/P1/HU34_BusquedaGuia/TC304_BusquedaGuiaExistente</t>
        </is>
      </c>
      <c r="H2" s="8" t="inlineStr">
        <is>
          <t>Falló</t>
        </is>
      </c>
      <c r="I2" s="8" t="n">
        <v>47.2</v>
      </c>
      <c r="J2" s="8" t="inlineStr">
        <is>
          <t>2026-10-18 21:36:55</t>
        </is>
      </c>
      <c r="K2" s="12" t="inlineStr">
        <is>
          <t>Katalon (TS_P1_RutaCritica)</t>
        </is>
      </c>
      <c r="L2" s="12" t="inlineStr">
        <is>
          <t>Test Cases/P1/HU34_BusquedaGuia/TC304_BusquedaGuiaExistente FAILED.
Reason:
com.kms.katalon.core.exception.StepFailedException: No se cumple: La guía aparece en los resultados
 at com.kms.katalon.core.util.KeywordUtil.markFailedAndStop(KeywordUtil.java:31)
 at conexion360.Helpers.verificar(Helpers.groovy:312)
 at TC304_BusquedaGuiaExistente.run(TC304_BusquedaGuiaExistente:23)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t>
        </is>
      </c>
      <c r="M2" s="12" t="inlineStr"/>
      <c r="N2" s="12" t="inlineStr">
        <is>
          <t>H-07, H-08, H-10</t>
        </is>
      </c>
    </row>
    <row r="3">
      <c r="A3" s="16" t="n">
        <v>305</v>
      </c>
      <c r="B3" s="12" t="inlineStr">
        <is>
          <t>Test HU7-2 - Verificar que no se permita la búsqueda con caracteres especiales diferentes de guion</t>
        </is>
      </c>
      <c r="C3" s="12" t="inlineStr">
        <is>
          <t>34 - HU7-Buscar un envío por número de guía</t>
        </is>
      </c>
      <c r="D3" s="12" t="inlineStr">
        <is>
          <t>Yesid Alexander García López</t>
        </is>
      </c>
      <c r="E3" s="8" t="inlineStr">
        <is>
          <t>Automatizado</t>
        </is>
      </c>
      <c r="F3" s="12" t="inlineStr">
        <is>
          <t>TS_P1_RutaCritica</t>
        </is>
      </c>
      <c r="G3" s="12" t="inlineStr">
        <is>
          <t>Test Cases/P1/HU34_BusquedaGuia/TC305_BusquedaCaracteresEspeciales</t>
        </is>
      </c>
      <c r="H3" s="8" t="inlineStr">
        <is>
          <t>Pasó</t>
        </is>
      </c>
      <c r="I3" s="8" t="n">
        <v>17.1</v>
      </c>
      <c r="J3" s="8" t="inlineStr">
        <is>
          <t>2026-10-18 21:36:55</t>
        </is>
      </c>
      <c r="K3" s="12" t="inlineStr">
        <is>
          <t>Katalon (TS_P1_RutaCritica)</t>
        </is>
      </c>
      <c r="L3" s="12" t="inlineStr"/>
      <c r="M3" s="12" t="inlineStr"/>
      <c r="N3" s="12" t="inlineStr">
        <is>
          <t>H-07</t>
        </is>
      </c>
    </row>
    <row r="4">
      <c r="A4" s="16" t="n">
        <v>306</v>
      </c>
      <c r="B4" s="12" t="inlineStr">
        <is>
          <t>Test HU7-3 - Verificar búsqueda de guía sin resultados asociados</t>
        </is>
      </c>
      <c r="C4" s="12" t="inlineStr">
        <is>
          <t>34 - HU7-Buscar un envío por número de guía</t>
        </is>
      </c>
      <c r="D4" s="12" t="inlineStr">
        <is>
          <t>Yesid Alexander García López</t>
        </is>
      </c>
      <c r="E4" s="8" t="inlineStr">
        <is>
          <t>Automatizado</t>
        </is>
      </c>
      <c r="F4" s="12" t="inlineStr">
        <is>
          <t>TS_P1_RutaCritica</t>
        </is>
      </c>
      <c r="G4" s="12" t="inlineStr">
        <is>
          <t>Test Cases/P1/HU34_BusquedaGuia/TC306_BusquedaGuiaInexistente</t>
        </is>
      </c>
      <c r="H4" s="8" t="inlineStr">
        <is>
          <t>Falló</t>
        </is>
      </c>
      <c r="I4" s="8" t="n">
        <v>30.9</v>
      </c>
      <c r="J4" s="8" t="inlineStr">
        <is>
          <t>2026-10-18 21:36:55</t>
        </is>
      </c>
      <c r="K4" s="12" t="inlineStr">
        <is>
          <t>Katalon (TS_P1_RutaCritica)</t>
        </is>
      </c>
      <c r="L4" s="12" t="inlineStr">
        <is>
          <t>Test Cases/P1/HU34_BusquedaGuia/TC306_BusquedaGuiaInexistente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TC306_BusquedaGuiaInexistente.run(TC306_BusquedaGuiaInexistente:24)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M4" s="12" t="inlineStr"/>
      <c r="N4" s="12" t="inlineStr">
        <is>
          <t>H-07</t>
        </is>
      </c>
    </row>
    <row r="5">
      <c r="A5" s="16" t="n">
        <v>307</v>
      </c>
      <c r="B5" s="12" t="inlineStr">
        <is>
          <t>Test HU1-1 Verificar que se listen mis envios</t>
        </is>
      </c>
      <c r="C5" s="12" t="inlineStr">
        <is>
          <t>28 - HU1-Lista de mis envíos activos</t>
        </is>
      </c>
      <c r="D5" s="12" t="inlineStr">
        <is>
          <t>Eider Santiago Sánchez Lopera</t>
        </is>
      </c>
      <c r="E5" s="8" t="inlineStr">
        <is>
          <t>Automatizado</t>
        </is>
      </c>
      <c r="F5" s="12" t="inlineStr">
        <is>
          <t>TS_P1_RutaCritica</t>
        </is>
      </c>
      <c r="G5" s="12" t="inlineStr">
        <is>
          <t>Test Cases/P1/HU28_MisEnviosActivos/TC307_ListarMisEnvios</t>
        </is>
      </c>
      <c r="H5" s="8" t="inlineStr">
        <is>
          <t>Falló</t>
        </is>
      </c>
      <c r="I5" s="8" t="n">
        <v>44</v>
      </c>
      <c r="J5" s="8" t="inlineStr">
        <is>
          <t>2026-10-18 21:36:55</t>
        </is>
      </c>
      <c r="K5" s="12" t="inlineStr">
        <is>
          <t>Katalon (TS_P1_RutaCritica)</t>
        </is>
      </c>
      <c r="L5" s="12" t="inlineStr">
        <is>
          <t>Test Cases/P1/HU28_MisEnviosActivos/TC307_ListarMisEnvios FAILED.
Reason:
com.kms.katalon.core.exception.StepFailedException: No se cumple: Se listan envíos (0 en la primera página)
 at com.kms.katalon.core.util.KeywordUtil.markFailedAndStop(KeywordUtil.java:31)
 at conexion360.Helpers.verificar(Helpers.groovy:312)
 at TC307_ListarMisEnvios.run(TC307_ListarMisEnvios:23)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t>
        </is>
      </c>
      <c r="M5" s="12" t="inlineStr"/>
      <c r="N5" s="12" t="inlineStr">
        <is>
          <t>H-10</t>
        </is>
      </c>
    </row>
    <row r="6">
      <c r="A6" s="16" t="n">
        <v>308</v>
      </c>
      <c r="B6" s="12" t="inlineStr">
        <is>
          <t>Test HU1-2 Verificar el filtro por estado para mis envíos</t>
        </is>
      </c>
      <c r="C6" s="12" t="inlineStr">
        <is>
          <t>28 - HU1-Lista de mis envíos activos</t>
        </is>
      </c>
      <c r="D6" s="12" t="inlineStr">
        <is>
          <t>Eider Santiago Sánchez Lopera</t>
        </is>
      </c>
      <c r="E6" s="8" t="inlineStr">
        <is>
          <t>Automatizado</t>
        </is>
      </c>
      <c r="F6" s="12" t="inlineStr">
        <is>
          <t>TS_P1_RutaCritica</t>
        </is>
      </c>
      <c r="G6" s="12" t="inlineStr">
        <is>
          <t>Test Cases/P1/HU28_MisEnviosActivos/TC308_FiltroPorEstado</t>
        </is>
      </c>
      <c r="H6" s="8" t="inlineStr">
        <is>
          <t>Falló</t>
        </is>
      </c>
      <c r="I6" s="8" t="n">
        <v>63.1</v>
      </c>
      <c r="J6" s="8" t="inlineStr">
        <is>
          <t>2026-10-18 21:36:55</t>
        </is>
      </c>
      <c r="K6" s="12" t="inlineStr">
        <is>
          <t>Katalon (TS_P1_RutaCritica)</t>
        </is>
      </c>
      <c r="L6" s="12" t="inlineStr">
        <is>
          <t>Test Cases/P1/HU28_MisEnviosActivos/TC308_FiltroPorEstado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TC308_FiltroPorEstado.run(TC308_FiltroPorEstado:28)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
        </is>
      </c>
      <c r="M6" s="12" t="inlineStr"/>
      <c r="N6" s="12" t="inlineStr">
        <is>
          <t>H-10</t>
        </is>
      </c>
    </row>
    <row r="7">
      <c r="A7" s="16" t="n">
        <v>309</v>
      </c>
      <c r="B7" s="12" t="inlineStr">
        <is>
          <t>Test HU2-1 - Verificar inicio de sesión exitoso con credenciales válidas</t>
        </is>
      </c>
      <c r="C7" s="12" t="inlineStr">
        <is>
          <t>121 - HU2: Inicio de sesión</t>
        </is>
      </c>
      <c r="D7" s="12" t="inlineStr">
        <is>
          <t>Eider Santiago Sánchez Lopera</t>
        </is>
      </c>
      <c r="E7" s="8" t="inlineStr">
        <is>
          <t>Automatizado</t>
        </is>
      </c>
      <c r="F7" s="12" t="inlineStr">
        <is>
          <t>TS_P1_RutaCritica</t>
        </is>
      </c>
      <c r="G7" s="12" t="inlineStr">
        <is>
          <t>Test Cases/P1/HU121_InicioSesion/TC309_LoginExitoso</t>
        </is>
      </c>
      <c r="H7" s="8" t="inlineStr">
        <is>
          <t>Pasó</t>
        </is>
      </c>
      <c r="I7" s="8" t="n">
        <v>12.5</v>
      </c>
      <c r="J7" s="8" t="inlineStr">
        <is>
          <t>2026-10-18 21:36:55</t>
        </is>
      </c>
      <c r="K7" s="12" t="inlineStr">
        <is>
          <t>Katalon (TS_P1_RutaCritica)</t>
        </is>
      </c>
      <c r="L7" s="12" t="inlineStr"/>
      <c r="M7" s="12" t="inlineStr"/>
      <c r="N7" s="12" t="inlineStr"/>
    </row>
    <row r="8">
      <c r="A8" s="16" t="n">
        <v>310</v>
      </c>
      <c r="B8" s="12" t="inlineStr">
        <is>
          <t>Test HU2-2 - Verificar que no se permita el inicio de sesión con contraseña incorrecta</t>
        </is>
      </c>
      <c r="C8" s="12" t="inlineStr">
        <is>
          <t>121 - HU2: Inicio de sesión</t>
        </is>
      </c>
      <c r="D8" s="12" t="inlineStr">
        <is>
          <t>Eider Santiago Sánchez Lopera</t>
        </is>
      </c>
      <c r="E8" s="8" t="inlineStr">
        <is>
          <t>Automatizado</t>
        </is>
      </c>
      <c r="F8" s="12" t="inlineStr">
        <is>
          <t>TS_P1_RutaCritica</t>
        </is>
      </c>
      <c r="G8" s="12" t="inlineStr">
        <is>
          <t>Test Cases/P1/HU121_InicioSesion/TC310_LoginContrasenaIncorrecta</t>
        </is>
      </c>
      <c r="H8" s="8" t="inlineStr">
        <is>
          <t>Pasó</t>
        </is>
      </c>
      <c r="I8" s="8" t="n">
        <v>17.1</v>
      </c>
      <c r="J8" s="8" t="inlineStr">
        <is>
          <t>2026-10-18 21:36:55</t>
        </is>
      </c>
      <c r="K8" s="12" t="inlineStr">
        <is>
          <t>Katalon (TS_P1_RutaCritica)</t>
        </is>
      </c>
      <c r="L8" s="12" t="inlineStr"/>
      <c r="M8" s="12" t="inlineStr"/>
      <c r="N8" s="12" t="inlineStr"/>
    </row>
    <row r="9">
      <c r="A9" s="16" t="n">
        <v>311</v>
      </c>
      <c r="B9" s="12" t="inlineStr">
        <is>
          <t>Test HU2-3 - Verificar inicio de sesión con un correo no registrado</t>
        </is>
      </c>
      <c r="C9" s="12" t="inlineStr">
        <is>
          <t>121 - HU2: Inicio de sesión</t>
        </is>
      </c>
      <c r="D9" s="12" t="inlineStr">
        <is>
          <t>Eider Santiago Sánchez Lopera</t>
        </is>
      </c>
      <c r="E9" s="8" t="inlineStr">
        <is>
          <t>Automatizado</t>
        </is>
      </c>
      <c r="F9" s="12" t="inlineStr">
        <is>
          <t>TS_P1_RutaCritica</t>
        </is>
      </c>
      <c r="G9" s="12" t="inlineStr">
        <is>
          <t>Test Cases/P1/HU121_InicioSesion/TC311_LoginCorreoNoRegistrado</t>
        </is>
      </c>
      <c r="H9" s="8" t="inlineStr">
        <is>
          <t>Pasó</t>
        </is>
      </c>
      <c r="I9" s="8" t="n">
        <v>11.2</v>
      </c>
      <c r="J9" s="8" t="inlineStr">
        <is>
          <t>2026-10-18 21:36:55</t>
        </is>
      </c>
      <c r="K9" s="12" t="inlineStr">
        <is>
          <t>Katalon (TS_P1_RutaCritica)</t>
        </is>
      </c>
      <c r="L9" s="12" t="inlineStr"/>
      <c r="M9" s="12" t="inlineStr"/>
      <c r="N9" s="12" t="inlineStr"/>
    </row>
    <row r="10">
      <c r="A10" s="16" t="n">
        <v>312</v>
      </c>
      <c r="B10" s="12" t="inlineStr">
        <is>
          <t>Test HU2-4 - Verificar que una ruta protegida redirija al inicio de sesión sin sesión activa</t>
        </is>
      </c>
      <c r="C10" s="12" t="inlineStr">
        <is>
          <t>121 - HU2: Inicio de sesión</t>
        </is>
      </c>
      <c r="D10" s="12" t="inlineStr">
        <is>
          <t>Eider Santiago Sánchez Lopera</t>
        </is>
      </c>
      <c r="E10" s="8" t="inlineStr">
        <is>
          <t>Automatizado</t>
        </is>
      </c>
      <c r="F10" s="12" t="inlineStr">
        <is>
          <t>TS_P1_RutaCritica</t>
        </is>
      </c>
      <c r="G10" s="12" t="inlineStr">
        <is>
          <t>Test Cases/P1/HU121_InicioSesion/TC312_RutaProtegidaSinSesion</t>
        </is>
      </c>
      <c r="H10" s="8" t="inlineStr">
        <is>
          <t>Pasó</t>
        </is>
      </c>
      <c r="I10" s="8" t="n">
        <v>4.3</v>
      </c>
      <c r="J10" s="8" t="inlineStr">
        <is>
          <t>2026-10-18 21:36:55</t>
        </is>
      </c>
      <c r="K10" s="12" t="inlineStr">
        <is>
          <t>Katalon (TS_P1_RutaCritica)</t>
        </is>
      </c>
      <c r="L10" s="12" t="inlineStr"/>
      <c r="M10" s="12" t="inlineStr"/>
      <c r="N10" s="12" t="inlineStr"/>
    </row>
    <row r="11">
      <c r="A11" s="16" t="n">
        <v>313</v>
      </c>
      <c r="B11" s="12" t="inlineStr">
        <is>
          <t>Test HU6-1 - Verificar bloqueo de la cuenta al tercer intento fallido</t>
        </is>
      </c>
      <c r="C11" s="12" t="inlineStr">
        <is>
          <t>214 - HU6: Bloquear acceso tras 3 intentos fallidos</t>
        </is>
      </c>
      <c r="D11" s="12" t="inlineStr">
        <is>
          <t>Eider Santiago Sánchez Lopera</t>
        </is>
      </c>
      <c r="E11" s="8" t="inlineStr">
        <is>
          <t>Automatizado</t>
        </is>
      </c>
      <c r="F11" s="12" t="inlineStr">
        <is>
          <t>TS_P1_RutaCritica</t>
        </is>
      </c>
      <c r="G11" s="12" t="inlineStr">
        <is>
          <t>Test Cases/P1/HU214_BloqueoIntentos/TC313_BloqueoTercerIntento</t>
        </is>
      </c>
      <c r="H11" s="8" t="inlineStr">
        <is>
          <t>Pasó</t>
        </is>
      </c>
      <c r="I11" s="8" t="n">
        <v>27.1</v>
      </c>
      <c r="J11" s="8" t="inlineStr">
        <is>
          <t>2026-10-18 21:36:55</t>
        </is>
      </c>
      <c r="K11" s="12" t="inlineStr">
        <is>
          <t>Katalon (TS_P1_RutaCritica)</t>
        </is>
      </c>
      <c r="L11" s="12" t="inlineStr"/>
      <c r="M11" s="12" t="inlineStr"/>
      <c r="N11" s="12" t="inlineStr">
        <is>
          <t>H-11</t>
        </is>
      </c>
    </row>
    <row r="12">
      <c r="A12" s="16" t="n">
        <v>314</v>
      </c>
      <c r="B12" s="12" t="inlineStr">
        <is>
          <t>Test HU6-2 - Verificar que 2 intentos fallidos no bloqueen la cuenta</t>
        </is>
      </c>
      <c r="C12" s="12" t="inlineStr">
        <is>
          <t>214 - HU6: Bloquear acceso tras 3 intentos fallidos</t>
        </is>
      </c>
      <c r="D12" s="12" t="inlineStr">
        <is>
          <t>Eider Santiago Sánchez Lopera</t>
        </is>
      </c>
      <c r="E12" s="8" t="inlineStr">
        <is>
          <t>Automatizado</t>
        </is>
      </c>
      <c r="F12" s="12" t="inlineStr">
        <is>
          <t>TS_P1_RutaCritica</t>
        </is>
      </c>
      <c r="G12" s="12" t="inlineStr">
        <is>
          <t>Test Cases/P1/HU214_BloqueoIntentos/TC314_DosIntentosNoBloquean</t>
        </is>
      </c>
      <c r="H12" s="8" t="inlineStr">
        <is>
          <t>Falló</t>
        </is>
      </c>
      <c r="I12" s="8" t="n">
        <v>52.2</v>
      </c>
      <c r="J12" s="8" t="inlineStr">
        <is>
          <t>2026-10-18 21:36:55</t>
        </is>
      </c>
      <c r="K12" s="12" t="inlineStr">
        <is>
          <t>Katalon (TS_P1_RutaCritica)</t>
        </is>
      </c>
      <c r="L12" s="12" t="inlineStr">
        <is>
          <t>Test Cases/P1/HU214_BloqueoIntentos/TC314_DosIntentosNoBloquean FAILED.
Reason:
com.kms.katalon.core.exception.StepFailedException: No se cumple: La app redirige a /dashboard
 at com.kms.katalon.core.util.KeywordUtil.markFailedAndStop(KeywordUtil.java:31)
 at conexion360.Helpers.verificar(Helpers.groovy:312)
 at TC314_DosIntentosNoBloquean.run(TC314_DosIntentosNoBloquean:28)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t>
        </is>
      </c>
      <c r="M12" s="12" t="inlineStr"/>
      <c r="N12" s="12" t="inlineStr"/>
    </row>
    <row r="13">
      <c r="A13" s="16" t="n">
        <v>315</v>
      </c>
      <c r="B13" s="12" t="inlineStr">
        <is>
          <t>Test HU6-3 - Verificar desbloqueo de la cuenta mediante el correo de Auth0</t>
        </is>
      </c>
      <c r="C13" s="12" t="inlineStr">
        <is>
          <t>214 - HU6: Bloquear acceso tras 3 intentos fallidos</t>
        </is>
      </c>
      <c r="D13" s="12" t="inlineStr">
        <is>
          <t>Eider Santiago Sánchez Lopera</t>
        </is>
      </c>
      <c r="E13" s="8" t="inlineStr">
        <is>
          <t>Manual</t>
        </is>
      </c>
      <c r="F13" s="12" t="inlineStr"/>
      <c r="G13" s="12" t="inlineStr"/>
      <c r="H13" s="8" t="inlineStr">
        <is>
          <t>Pendiente manual</t>
        </is>
      </c>
      <c r="I13" s="8" t="n"/>
      <c r="J13" s="8" t="inlineStr"/>
      <c r="K13" s="12" t="inlineStr"/>
      <c r="L13" s="12" t="inlineStr"/>
      <c r="M13" s="12" t="inlineStr">
        <is>
          <t>Requiere abrir el correo de desbloqueo de Auth0</t>
        </is>
      </c>
      <c r="N13" s="12" t="inlineStr"/>
    </row>
    <row r="14">
      <c r="A14" s="16" t="n">
        <v>316</v>
      </c>
      <c r="B14" s="12" t="inlineStr">
        <is>
          <t>Test HU3-1 - Verificar que el cliente solo visualice sus propios envíos</t>
        </is>
      </c>
      <c r="C14" s="12" t="inlineStr">
        <is>
          <t>126 - HU3: Visualización envios</t>
        </is>
      </c>
      <c r="D14" s="12" t="inlineStr">
        <is>
          <t>Eider Santiago Sánchez Lopera</t>
        </is>
      </c>
      <c r="E14" s="8" t="inlineStr">
        <is>
          <t>Automatizado</t>
        </is>
      </c>
      <c r="F14" s="12" t="inlineStr">
        <is>
          <t>TS_P1_RutaCritica</t>
        </is>
      </c>
      <c r="G14" s="12" t="inlineStr">
        <is>
          <t>Test Cases/P1/HU126_OwnershipEnvios/TC316_ClienteSoloVeSusEnvios</t>
        </is>
      </c>
      <c r="H14" s="8" t="inlineStr">
        <is>
          <t>Falló</t>
        </is>
      </c>
      <c r="I14" s="8" t="n">
        <v>47.9</v>
      </c>
      <c r="J14" s="8" t="inlineStr">
        <is>
          <t>2026-10-18 21:36:55</t>
        </is>
      </c>
      <c r="K14" s="12" t="inlineStr">
        <is>
          <t>Katalon (TS_P1_RutaCritica)</t>
        </is>
      </c>
      <c r="L14" s="12" t="inlineStr">
        <is>
          <t>Test Cases/P1/HU126_OwnershipEnvios/TC316_ClienteSoloVeSusEnvios FAILED.
Reason:
com.kms.katalon.core.exception.StepFailedException: No se cumple: Aparece la guía propia
 at com.kms.katalon.core.util.KeywordUtil.markFailedAndStop(KeywordUtil.java:31)
 at conexion360.Helpers.verificar(Helpers.groovy:312)
 at TC316_ClienteSoloVeSusEnvios.run(TC316_ClienteSoloVeSusEnvios:24)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t>
        </is>
      </c>
      <c r="M14" s="12" t="inlineStr"/>
      <c r="N14" s="12" t="inlineStr">
        <is>
          <t>H-10</t>
        </is>
      </c>
    </row>
    <row r="15">
      <c r="A15" s="16" t="n">
        <v>317</v>
      </c>
      <c r="B15" s="12" t="inlineStr">
        <is>
          <t>Test HU3-2 - Verificar que el cliente no pueda abrir el detalle de un envío ajeno por URL</t>
        </is>
      </c>
      <c r="C15" s="12" t="inlineStr">
        <is>
          <t>126 - HU3: Visualización envios</t>
        </is>
      </c>
      <c r="D15" s="12" t="inlineStr">
        <is>
          <t>Eider Santiago Sánchez Lopera</t>
        </is>
      </c>
      <c r="E15" s="8" t="inlineStr">
        <is>
          <t>Automatizado</t>
        </is>
      </c>
      <c r="F15" s="12" t="inlineStr">
        <is>
          <t>TS_P1_RutaCritica</t>
        </is>
      </c>
      <c r="G15" s="12" t="inlineStr">
        <is>
          <t>Test Cases/P1/HU126_OwnershipEnvios/TC317_DetalleAjenoPorUrl</t>
        </is>
      </c>
      <c r="H15" s="8" t="inlineStr">
        <is>
          <t>Pasó</t>
        </is>
      </c>
      <c r="I15" s="8" t="n">
        <v>22</v>
      </c>
      <c r="J15" s="8" t="inlineStr">
        <is>
          <t>2026-10-18 21:36:55</t>
        </is>
      </c>
      <c r="K15" s="12" t="inlineStr">
        <is>
          <t>Katalon (TS_P1_RutaCritica)</t>
        </is>
      </c>
      <c r="L15" s="12" t="inlineStr"/>
      <c r="M15" s="12" t="inlineStr"/>
      <c r="N15" s="12" t="inlineStr">
        <is>
          <t>H-11</t>
        </is>
      </c>
    </row>
    <row r="16">
      <c r="A16" s="16" t="n">
        <v>318</v>
      </c>
      <c r="B16" s="12" t="inlineStr">
        <is>
          <t>Test HU3-3 - Verificar que la API rechace la consulta de un envío ajeno</t>
        </is>
      </c>
      <c r="C16" s="12" t="inlineStr">
        <is>
          <t>126 - HU3: Visualización envios</t>
        </is>
      </c>
      <c r="D16" s="12" t="inlineStr">
        <is>
          <t>Eider Santiago Sánchez Lopera</t>
        </is>
      </c>
      <c r="E16" s="8" t="inlineStr">
        <is>
          <t>Automatizado</t>
        </is>
      </c>
      <c r="F16" s="12" t="inlineStr">
        <is>
          <t>TS_P1_RutaCritica</t>
        </is>
      </c>
      <c r="G16" s="12" t="inlineStr">
        <is>
          <t>Test Cases/P1/HU126_OwnershipEnvios/TC318_ApiRechazaEnvioAjeno</t>
        </is>
      </c>
      <c r="H16" s="8" t="inlineStr">
        <is>
          <t>Falló</t>
        </is>
      </c>
      <c r="I16" s="8" t="n">
        <v>19.7</v>
      </c>
      <c r="J16" s="8" t="inlineStr">
        <is>
          <t>2026-10-18 22:06:24</t>
        </is>
      </c>
      <c r="K16" s="12" t="inlineStr">
        <is>
          <t>Katalon (TS_Reejecucion)</t>
        </is>
      </c>
      <c r="L16" s="12" t="inlineStr">
        <is>
          <t>Test Cases/P1/HU126_OwnershipEnvios/TC318_ApiRechazaEnvioAjeno FAILED.
Reason:
com.kms.katalon.core.exception.StepFailedException: No se cumple: El token y el endpoint funcionan con el envío propio
 at com.kms.katalon.core.util.KeywordUtil.markFailedAndStop(KeywordUtil.java:31)
 at conexion360.Helpers.verificar(Helpers.groovy:323)
 at TC318_ApiRechazaEnvioAjeno.run(TC318_ApiRechazaEnvioAjeno:24)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t>
        </is>
      </c>
      <c r="M16" s="12" t="inlineStr"/>
      <c r="N16" s="12" t="inlineStr">
        <is>
          <t>H-01, H-10, H-12</t>
        </is>
      </c>
    </row>
    <row r="17">
      <c r="A17" s="16" t="n">
        <v>319</v>
      </c>
      <c r="B17" s="12" t="inlineStr">
        <is>
          <t>Test HU4-1 - Verificar que el empleado visualice los envíos de todos los clientes</t>
        </is>
      </c>
      <c r="C17" s="12" t="inlineStr">
        <is>
          <t>127 - HU4: Acceso envios clientes</t>
        </is>
      </c>
      <c r="D17" s="12" t="inlineStr">
        <is>
          <t>Eider Santiago Sánchez Lopera</t>
        </is>
      </c>
      <c r="E17" s="8" t="inlineStr">
        <is>
          <t>Automatizado</t>
        </is>
      </c>
      <c r="F17" s="12" t="inlineStr">
        <is>
          <t>TS_P1_RutaCritica</t>
        </is>
      </c>
      <c r="G17" s="12" t="inlineStr">
        <is>
          <t>Test Cases/P1/HU127_AccesoPorRol/TC319_AdminVeTodosLosEnvios</t>
        </is>
      </c>
      <c r="H17" s="8" t="inlineStr">
        <is>
          <t>Falló</t>
        </is>
      </c>
      <c r="I17" s="8" t="n">
        <v>102.1</v>
      </c>
      <c r="J17" s="8" t="inlineStr">
        <is>
          <t>2026-10-18 21:36:55</t>
        </is>
      </c>
      <c r="K17" s="12" t="inlineStr">
        <is>
          <t>Katalon (TS_P1_RutaCritica)</t>
        </is>
      </c>
      <c r="L17" s="12" t="inlineStr">
        <is>
          <t>Test Cases/P1/HU127_AccesoPorRol/TC319_AdminVeTodosLosEnvios FAILED.
Reason:
com.kms.katalon.core.exception.StepFailedException: No se cumple: La vista interna muestra la columna "Cliente"
 at com.kms.katalon.core.util.KeywordUtil.markFailedAndStop(KeywordUtil.java:31)
 at conexion360.Helpers.verificar(Helpers.groovy:312)
 at TC319_AdminVeTodosLosEnvios.run(TC319_AdminVeTodosLosEnvios:22)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t>
        </is>
      </c>
      <c r="M17" s="12" t="inlineStr"/>
      <c r="N17" s="12" t="inlineStr">
        <is>
          <t>H-10</t>
        </is>
      </c>
    </row>
    <row r="18">
      <c r="A18" s="16" t="n">
        <v>320</v>
      </c>
      <c r="B18" s="12" t="inlineStr">
        <is>
          <t>Test HU4-2 - Verificar que un cliente no acceda a la vista global de envíos</t>
        </is>
      </c>
      <c r="C18" s="12" t="inlineStr">
        <is>
          <t>127 - HU4: Acceso envios clientes</t>
        </is>
      </c>
      <c r="D18" s="12" t="inlineStr">
        <is>
          <t>Eider Santiago Sánchez Lopera</t>
        </is>
      </c>
      <c r="E18" s="8" t="inlineStr">
        <is>
          <t>Automatizado</t>
        </is>
      </c>
      <c r="F18" s="12" t="inlineStr">
        <is>
          <t>TS_P1_RutaCritica</t>
        </is>
      </c>
      <c r="G18" s="12" t="inlineStr">
        <is>
          <t>Test Cases/P1/HU127_AccesoPorRol/TC320_ClienteSinVistaGlobal</t>
        </is>
      </c>
      <c r="H18" s="8" t="inlineStr">
        <is>
          <t>Pasó</t>
        </is>
      </c>
      <c r="I18" s="8" t="n">
        <v>46.9</v>
      </c>
      <c r="J18" s="8" t="inlineStr">
        <is>
          <t>2026-10-18 21:36:55</t>
        </is>
      </c>
      <c r="K18" s="12" t="inlineStr">
        <is>
          <t>Katalon (TS_P1_RutaCritica)</t>
        </is>
      </c>
      <c r="L18" s="12" t="inlineStr"/>
      <c r="M18" s="12" t="inlineStr"/>
      <c r="N18" s="12" t="inlineStr">
        <is>
          <t>H-07</t>
        </is>
      </c>
    </row>
    <row r="19">
      <c r="A19" s="16" t="n">
        <v>321</v>
      </c>
      <c r="B19" s="12" t="inlineStr">
        <is>
          <t>Test HU1-3 - Verificar mensaje cuando el cliente no tiene envíos activos</t>
        </is>
      </c>
      <c r="C19" s="12" t="inlineStr">
        <is>
          <t>28 - HU1-Lista de mis envíos activos</t>
        </is>
      </c>
      <c r="D19" s="12" t="inlineStr">
        <is>
          <t>Eider Santiago Sánchez Lopera</t>
        </is>
      </c>
      <c r="E19" s="8" t="inlineStr">
        <is>
          <t>Automatizado</t>
        </is>
      </c>
      <c r="F19" s="12" t="inlineStr">
        <is>
          <t>TS_P1_RutaCritica</t>
        </is>
      </c>
      <c r="G19" s="12" t="inlineStr">
        <is>
          <t>Test Cases/P1/HU28_MisEnviosActivos/TC321_SinEnviosActivos</t>
        </is>
      </c>
      <c r="H19" s="8" t="inlineStr">
        <is>
          <t>Falló</t>
        </is>
      </c>
      <c r="I19" s="8" t="n">
        <v>103.1</v>
      </c>
      <c r="J19" s="8" t="inlineStr">
        <is>
          <t>2026-10-18 21:36:55</t>
        </is>
      </c>
      <c r="K19" s="12" t="inlineStr">
        <is>
          <t>Katalon (TS_P1_RutaCritica)</t>
        </is>
      </c>
      <c r="L19" s="12" t="inlineStr">
        <is>
          <t>Test Cases/P1/HU28_MisEnviosActivos/TC321_SinEnviosActivos FAILED.
Reason:
com.kms.katalon.core.exception.StepFailedException: No apareció el texto: Aún no tienes envíos asociados
 at com.kms.katalon.core.util.KeywordUtil.markFailedAndStop(KeywordUtil.java:31)
 at conexion360.Helpers.esperarTexto(Helpers.groovy:107)
 at TC321_SinEnviosActivos.run(TC321_SinEnviosActivos:21)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t>
        </is>
      </c>
      <c r="M19" s="12" t="inlineStr"/>
      <c r="N19" s="12" t="inlineStr">
        <is>
          <t>H-10</t>
        </is>
      </c>
    </row>
    <row r="20">
      <c r="A20" s="16" t="n">
        <v>322</v>
      </c>
      <c r="B20" s="12" t="inlineStr">
        <is>
          <t>Test HU7-4 - Verificar búsqueda con el campo de guía vacío</t>
        </is>
      </c>
      <c r="C20" s="12" t="inlineStr">
        <is>
          <t>34 - HU7-Buscar un envío por número de guía</t>
        </is>
      </c>
      <c r="D20" s="12" t="inlineStr">
        <is>
          <t>Eider Santiago Sánchez Lopera</t>
        </is>
      </c>
      <c r="E20" s="8" t="inlineStr">
        <is>
          <t>Automatizado</t>
        </is>
      </c>
      <c r="F20" s="12" t="inlineStr">
        <is>
          <t>TS_P1_RutaCritica</t>
        </is>
      </c>
      <c r="G20" s="12" t="inlineStr">
        <is>
          <t>Test Cases/P1/HU34_BusquedaGuia/TC322_BusquedaCampoVacio</t>
        </is>
      </c>
      <c r="H20" s="8" t="inlineStr">
        <is>
          <t>Falló</t>
        </is>
      </c>
      <c r="I20" s="8" t="n">
        <v>23.9</v>
      </c>
      <c r="J20" s="8" t="inlineStr">
        <is>
          <t>2026-10-18 21:36:55</t>
        </is>
      </c>
      <c r="K20" s="12" t="inlineStr">
        <is>
          <t>Katalon (TS_P1_RutaCritica)</t>
        </is>
      </c>
      <c r="L20" s="12" t="inlineStr">
        <is>
          <t>Test Cases/P1/HU34_BusquedaGuia/TC322_BusquedaCampoVacio FAILED.
Reason:
com.kms.katalon.core.exception.StepFailedException: No se cumple: La búsqueda se limpia
 at com.kms.katalon.core.util.KeywordUtil.markFailedAndStop(KeywordUtil.java:31)
 at conexion360.Helpers.verificar(Helpers.groovy:312)
 at TC322_BusquedaCampoVacio.run(TC322_BusquedaCampoVacio:29)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t>
        </is>
      </c>
      <c r="M20" s="12" t="inlineStr"/>
      <c r="N20" s="12" t="inlineStr">
        <is>
          <t>H-07</t>
        </is>
      </c>
    </row>
    <row r="21">
      <c r="A21" s="16" t="n">
        <v>323</v>
      </c>
      <c r="B21" s="12" t="inlineStr">
        <is>
          <t>Test HU7-5 - Verificar que el cliente no obtenga datos al buscar una guía de otro cliente</t>
        </is>
      </c>
      <c r="C21" s="12" t="inlineStr">
        <is>
          <t>34 - HU7-Buscar un envío por número de guía</t>
        </is>
      </c>
      <c r="D21" s="12" t="inlineStr">
        <is>
          <t>Eider Santiago Sánchez Lopera</t>
        </is>
      </c>
      <c r="E21" s="8" t="inlineStr">
        <is>
          <t>Automatizado</t>
        </is>
      </c>
      <c r="F21" s="12" t="inlineStr">
        <is>
          <t>TS_P1_RutaCritica</t>
        </is>
      </c>
      <c r="G21" s="12" t="inlineStr">
        <is>
          <t>Test Cases/P1/HU34_BusquedaGuia/TC323_BusquedaGuiaOtroCliente</t>
        </is>
      </c>
      <c r="H21" s="8" t="inlineStr">
        <is>
          <t>Falló</t>
        </is>
      </c>
      <c r="I21" s="8" t="n">
        <v>33</v>
      </c>
      <c r="J21" s="8" t="inlineStr">
        <is>
          <t>2026-10-18 21:36:55</t>
        </is>
      </c>
      <c r="K21" s="12" t="inlineStr">
        <is>
          <t>Katalon (TS_P1_RutaCritica)</t>
        </is>
      </c>
      <c r="L21" s="12" t="inlineStr">
        <is>
          <t>Test Cases/P1/HU34_BusquedaGuia/TC323_BusquedaGuiaOtroCliente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TC323_BusquedaGuiaOtroCliente.run(TC323_BusquedaGuiaOtroCliente:23)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M21" s="12" t="inlineStr"/>
      <c r="N21" s="12" t="inlineStr">
        <is>
          <t>H-07</t>
        </is>
      </c>
    </row>
    <row r="22">
      <c r="A22" s="16" t="n">
        <v>324</v>
      </c>
      <c r="B22" s="12" t="inlineStr">
        <is>
          <t>Test HU3-1 - Verificar que se muestre el detalle completo de un envío propio</t>
        </is>
      </c>
      <c r="C22" s="12" t="inlineStr">
        <is>
          <t>30 - HU3-Ver el detalle de un envío</t>
        </is>
      </c>
      <c r="D22" s="12" t="inlineStr">
        <is>
          <t>Eider Santiago Sánchez Lopera</t>
        </is>
      </c>
      <c r="E22" s="8" t="inlineStr">
        <is>
          <t>Automatizado</t>
        </is>
      </c>
      <c r="F22" s="12" t="inlineStr">
        <is>
          <t>TS_P1_RutaCritica</t>
        </is>
      </c>
      <c r="G22" s="12" t="inlineStr">
        <is>
          <t>Test Cases/P1/HU30_DetalleEnvio/TC324_DetalleEnvioPropio</t>
        </is>
      </c>
      <c r="H22" s="8" t="inlineStr">
        <is>
          <t>Falló</t>
        </is>
      </c>
      <c r="I22" s="8" t="n">
        <v>31.8</v>
      </c>
      <c r="J22" s="8" t="inlineStr">
        <is>
          <t>2026-10-18 22:06:24</t>
        </is>
      </c>
      <c r="K22" s="12" t="inlineStr">
        <is>
          <t>Katalon (TS_Reejecucion)</t>
        </is>
      </c>
      <c r="L22" s="12" t="inlineStr">
        <is>
          <t>Test Cases/P1/HU30_DetalleEnvio/TC324_DetalleEnvioPropio FAILED.
Reason:
com.kms.katalon.core.exception.StepFailedException: Unable to click on object 'css_2950d483'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TC324_DetalleEnvioPropio.run(TC324_DetalleEnvioPropio:20)
 at com.kms.katalon.core.main.ScriptEngine.run(Script</t>
        </is>
      </c>
      <c r="M22" s="12" t="inlineStr"/>
      <c r="N22" s="12" t="inlineStr">
        <is>
          <t>H-10, H-12</t>
        </is>
      </c>
    </row>
    <row r="23">
      <c r="A23" s="16" t="n">
        <v>325</v>
      </c>
      <c r="B23" s="12" t="inlineStr">
        <is>
          <t>Test HU3-2 - Verificar el detalle de un envío inexistente</t>
        </is>
      </c>
      <c r="C23" s="12" t="inlineStr">
        <is>
          <t>30 - HU3-Ver el detalle de un envío</t>
        </is>
      </c>
      <c r="D23" s="12" t="inlineStr">
        <is>
          <t>Eider Santiago Sánchez Lopera</t>
        </is>
      </c>
      <c r="E23" s="8" t="inlineStr">
        <is>
          <t>Automatizado</t>
        </is>
      </c>
      <c r="F23" s="12" t="inlineStr">
        <is>
          <t>TS_P1_RutaCritica</t>
        </is>
      </c>
      <c r="G23" s="12" t="inlineStr">
        <is>
          <t>Test Cases/P1/HU30_DetalleEnvio/TC325_DetalleEnvioInexistente</t>
        </is>
      </c>
      <c r="H23" s="8" t="inlineStr">
        <is>
          <t>Falló</t>
        </is>
      </c>
      <c r="I23" s="8" t="n">
        <v>42.5</v>
      </c>
      <c r="J23" s="8" t="inlineStr">
        <is>
          <t>2026-10-18 21:36:55</t>
        </is>
      </c>
      <c r="K23" s="12" t="inlineStr">
        <is>
          <t>Katalon (TS_P1_RutaCritica)</t>
        </is>
      </c>
      <c r="L23" s="12" t="inlineStr">
        <is>
          <t>Test Cases/P1/HU30_DetalleEnvio/TC325_DetalleEnvioInexistente FAILED.
Reason:
com.kms.katalon.core.exception.StepFailedException: No apareció el texto: Envío no encontrado
 at com.kms.katalon.core.util.KeywordUtil.markFailedAndStop(KeywordUtil.java:31)
 at conexion360.Helpers.esperarTexto(Helpers.groovy:107)
 at TC325_DetalleEnvioInexistente.run(TC325_DetalleEnvioInexistente:21)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t>
        </is>
      </c>
      <c r="M23" s="12" t="inlineStr"/>
      <c r="N23" s="12" t="inlineStr">
        <is>
          <t>H-10</t>
        </is>
      </c>
    </row>
    <row r="24">
      <c r="A24" s="16" t="n">
        <v>326</v>
      </c>
      <c r="B24" s="12" t="inlineStr">
        <is>
          <t>Test HU1-1 - Verificar que un cambio de estado en la fuente se refleje automáticamente</t>
        </is>
      </c>
      <c r="C24" s="12" t="inlineStr">
        <is>
          <t>39 - HU1-Actualizar automáticamente los estados de los envíos</t>
        </is>
      </c>
      <c r="D24" s="12" t="inlineStr">
        <is>
          <t>Eider Santiago Sánchez Lopera</t>
        </is>
      </c>
      <c r="E24" s="8" t="inlineStr">
        <is>
          <t>Manual</t>
        </is>
      </c>
      <c r="F24" s="12" t="inlineStr"/>
      <c r="G24" s="12" t="inlineStr"/>
      <c r="H24" s="8" t="inlineStr">
        <is>
          <t>Pendiente manual</t>
        </is>
      </c>
      <c r="I24" s="8" t="n"/>
      <c r="J24" s="8" t="inlineStr"/>
      <c r="K24" s="12" t="inlineStr"/>
      <c r="L24" s="12" t="inlineStr"/>
      <c r="M24" s="12" t="inlineStr">
        <is>
          <t>Requiere cambiar datos en la fuente y esperar el ETL</t>
        </is>
      </c>
      <c r="N24" s="12" t="inlineStr"/>
    </row>
    <row r="25">
      <c r="A25" s="16" t="n">
        <v>327</v>
      </c>
      <c r="B25" s="12" t="inlineStr">
        <is>
          <t>Test HU1-2 - Verificar el manejo de un estado no válido recibido desde la fuente</t>
        </is>
      </c>
      <c r="C25" s="12" t="inlineStr">
        <is>
          <t>39 - HU1-Actualizar automáticamente los estados de los envíos</t>
        </is>
      </c>
      <c r="D25" s="12" t="inlineStr">
        <is>
          <t>Eider Santiago Sánchez Lopera</t>
        </is>
      </c>
      <c r="E25" s="8" t="inlineStr">
        <is>
          <t>Manual</t>
        </is>
      </c>
      <c r="F25" s="12" t="inlineStr"/>
      <c r="G25" s="12" t="inlineStr"/>
      <c r="H25" s="8" t="inlineStr">
        <is>
          <t>Pendiente manual</t>
        </is>
      </c>
      <c r="I25" s="8" t="n"/>
      <c r="J25" s="8" t="inlineStr"/>
      <c r="K25" s="12" t="inlineStr"/>
      <c r="L25" s="12" t="inlineStr"/>
      <c r="M25" s="12" t="inlineStr">
        <is>
          <t>Requiere cambiar datos en la fuente y esperar el ETL</t>
        </is>
      </c>
      <c r="N25" s="12" t="inlineStr"/>
    </row>
    <row r="26">
      <c r="A26" s="16" t="n">
        <v>328</v>
      </c>
      <c r="B26" s="12" t="inlineStr">
        <is>
          <t>Test HU1-5 - Verificar que el sistema rechace entradas con scripts o código malicioso</t>
        </is>
      </c>
      <c r="C26" s="12" t="inlineStr">
        <is>
          <t>209 - HU1: Proteger la aplicación contra ataques</t>
        </is>
      </c>
      <c r="D26" s="12" t="inlineStr">
        <is>
          <t>Alejandro José Acosta Fernández</t>
        </is>
      </c>
      <c r="E26" s="8" t="inlineStr">
        <is>
          <t>Automatizado</t>
        </is>
      </c>
      <c r="F26" s="12" t="inlineStr">
        <is>
          <t>TS_P1_RutaCritica</t>
        </is>
      </c>
      <c r="G26" s="12" t="inlineStr">
        <is>
          <t>Test Cases/P1/HU209_ProteccionAtaques/TC328_RechazoEntradasMaliciosas</t>
        </is>
      </c>
      <c r="H26" s="8" t="inlineStr">
        <is>
          <t>Pasó</t>
        </is>
      </c>
      <c r="I26" s="8" t="n">
        <v>35.5</v>
      </c>
      <c r="J26" s="8" t="inlineStr">
        <is>
          <t>2026-10-18 21:36:55</t>
        </is>
      </c>
      <c r="K26" s="12" t="inlineStr">
        <is>
          <t>Katalon (TS_P1_RutaCritica)</t>
        </is>
      </c>
      <c r="L26" s="12" t="inlineStr"/>
      <c r="M26" s="12" t="inlineStr"/>
      <c r="N26" s="12" t="inlineStr"/>
    </row>
    <row r="27">
      <c r="A27" s="16" t="n">
        <v>329</v>
      </c>
      <c r="B27" s="12" t="inlineStr">
        <is>
          <t>Test HU1-1 - Verificar que una notificación marcada como leída persista y disminuya el contador</t>
        </is>
      </c>
      <c r="C27" s="12" t="inlineStr">
        <is>
          <t>43 - HU1-Recibir notificaciones cuando el estado de mi envío cambie</t>
        </is>
      </c>
      <c r="D27" s="12" t="inlineStr">
        <is>
          <t>Alejandro José Acosta Fernández</t>
        </is>
      </c>
      <c r="E27" s="8" t="inlineStr">
        <is>
          <t>Manual</t>
        </is>
      </c>
      <c r="F27" s="12" t="inlineStr"/>
      <c r="G27" s="12" t="inlineStr"/>
      <c r="H27" s="8" t="inlineStr">
        <is>
          <t>Pendiente manual</t>
        </is>
      </c>
      <c r="I27" s="8" t="n"/>
      <c r="J27" s="8" t="inlineStr"/>
      <c r="K27" s="12" t="inlineStr"/>
      <c r="L27" s="12" t="inlineStr"/>
      <c r="M27" s="12" t="inlineStr">
        <is>
          <t>Notificaciones: confirmar si el front ya usa backend real</t>
        </is>
      </c>
      <c r="N27" s="12" t="inlineStr">
        <is>
          <t>H-08</t>
        </is>
      </c>
    </row>
    <row r="28">
      <c r="A28" s="16" t="n">
        <v>330</v>
      </c>
      <c r="B28" s="12" t="inlineStr">
        <is>
          <t>Test HU3-1 - Verificar el reintento automático de una notificación tras un fallo temporal</t>
        </is>
      </c>
      <c r="C28" s="12" t="inlineStr">
        <is>
          <t>45 - HU3-Reintentar el envío de notificaciones fallidas</t>
        </is>
      </c>
      <c r="D28" s="12" t="inlineStr">
        <is>
          <t>Alejandro José Acosta Fernández</t>
        </is>
      </c>
      <c r="E28" s="8" t="inlineStr">
        <is>
          <t>Manual</t>
        </is>
      </c>
      <c r="F28" s="12" t="inlineStr"/>
      <c r="G28" s="12" t="inlineStr"/>
      <c r="H28" s="8" t="inlineStr">
        <is>
          <t>Pendiente manual</t>
        </is>
      </c>
      <c r="I28" s="8" t="n"/>
      <c r="J28" s="8" t="inlineStr"/>
      <c r="K28" s="12" t="inlineStr"/>
      <c r="L28" s="12" t="inlineStr"/>
      <c r="M28" s="12" t="inlineStr">
        <is>
          <t>Requiere simular la caída del canal de envío</t>
        </is>
      </c>
      <c r="N28" s="12" t="inlineStr">
        <is>
          <t>H-08</t>
        </is>
      </c>
    </row>
    <row r="29">
      <c r="A29" s="16" t="n">
        <v>331</v>
      </c>
      <c r="B29" s="12" t="inlineStr">
        <is>
          <t>Test HU3-2 - Verificar que se respete el número máximo de reintentos de una notificación</t>
        </is>
      </c>
      <c r="C29" s="12" t="inlineStr">
        <is>
          <t>45 - HU3-Reintentar el envío de notificaciones fallidas</t>
        </is>
      </c>
      <c r="D29" s="12" t="inlineStr">
        <is>
          <t>Alejandro José Acosta Fernández</t>
        </is>
      </c>
      <c r="E29" s="8" t="inlineStr">
        <is>
          <t>Manual</t>
        </is>
      </c>
      <c r="F29" s="12" t="inlineStr"/>
      <c r="G29" s="12" t="inlineStr"/>
      <c r="H29" s="8" t="inlineStr">
        <is>
          <t>Pendiente manual</t>
        </is>
      </c>
      <c r="I29" s="8" t="n"/>
      <c r="J29" s="8" t="inlineStr"/>
      <c r="K29" s="12" t="inlineStr"/>
      <c r="L29" s="12" t="inlineStr"/>
      <c r="M29" s="12" t="inlineStr">
        <is>
          <t>Requiere simular la caída del canal de envío</t>
        </is>
      </c>
      <c r="N29" s="12" t="inlineStr">
        <is>
          <t>H-08</t>
        </is>
      </c>
    </row>
    <row r="30">
      <c r="A30" s="16" t="n">
        <v>332</v>
      </c>
      <c r="B30" s="12" t="inlineStr">
        <is>
          <t>Test HU3-3 - Verificar la coherencia de los estados de una notificación durante los reintentos</t>
        </is>
      </c>
      <c r="C30" s="12" t="inlineStr">
        <is>
          <t>45 - HU3-Reintentar el envío de notificaciones fallidas</t>
        </is>
      </c>
      <c r="D30" s="12" t="inlineStr">
        <is>
          <t>Alejandro José Acosta Fernández</t>
        </is>
      </c>
      <c r="E30" s="8" t="inlineStr">
        <is>
          <t>Manual</t>
        </is>
      </c>
      <c r="F30" s="12" t="inlineStr"/>
      <c r="G30" s="12" t="inlineStr"/>
      <c r="H30" s="8" t="inlineStr">
        <is>
          <t>Pendiente manual</t>
        </is>
      </c>
      <c r="I30" s="8" t="n"/>
      <c r="J30" s="8" t="inlineStr"/>
      <c r="K30" s="12" t="inlineStr"/>
      <c r="L30" s="12" t="inlineStr"/>
      <c r="M30" s="12" t="inlineStr">
        <is>
          <t>Requiere simular la caída del canal de envío</t>
        </is>
      </c>
      <c r="N30" s="12" t="inlineStr">
        <is>
          <t>H-08</t>
        </is>
      </c>
    </row>
    <row r="31">
      <c r="A31" s="16" t="n">
        <v>333</v>
      </c>
      <c r="B31" s="12" t="inlineStr">
        <is>
          <t>Test HU1-2 - Verificar que el cliente reciba en tiempo real la notificación del cambio de estado de su envío</t>
        </is>
      </c>
      <c r="C31" s="12" t="inlineStr">
        <is>
          <t>43 - HU1-Recibir notificaciones cuando el estado de mi envío cambie</t>
        </is>
      </c>
      <c r="D31" s="12" t="inlineStr">
        <is>
          <t>Alejandro José Acosta Fernández</t>
        </is>
      </c>
      <c r="E31" s="8" t="inlineStr">
        <is>
          <t>Manual</t>
        </is>
      </c>
      <c r="F31" s="12" t="inlineStr"/>
      <c r="G31" s="12" t="inlineStr"/>
      <c r="H31" s="8" t="inlineStr">
        <is>
          <t>Pendiente manual</t>
        </is>
      </c>
      <c r="I31" s="8" t="n"/>
      <c r="J31" s="8" t="inlineStr"/>
      <c r="K31" s="12" t="inlineStr"/>
      <c r="L31" s="12" t="inlineStr"/>
      <c r="M31" s="12" t="inlineStr">
        <is>
          <t>Requiere disparar eventos en el backend (SignalR/Kafka)</t>
        </is>
      </c>
      <c r="N31" s="12" t="inlineStr">
        <is>
          <t>H-08</t>
        </is>
      </c>
    </row>
    <row r="32">
      <c r="A32" s="16" t="n">
        <v>335</v>
      </c>
      <c r="B32" s="12" t="inlineStr">
        <is>
          <t>Test HU2-1 - Verificar que solo los eventos habilitados generen notificaciones automáticas</t>
        </is>
      </c>
      <c r="C32" s="12" t="inlineStr">
        <is>
          <t>44 - HU2-Enviar notificaciones automáticas basadas en eventos del sistema</t>
        </is>
      </c>
      <c r="D32" s="12" t="inlineStr">
        <is>
          <t>Alejandro José Acosta Fernández</t>
        </is>
      </c>
      <c r="E32" s="8" t="inlineStr">
        <is>
          <t>Manual</t>
        </is>
      </c>
      <c r="F32" s="12" t="inlineStr"/>
      <c r="G32" s="12" t="inlineStr"/>
      <c r="H32" s="8" t="inlineStr">
        <is>
          <t>Pendiente manual</t>
        </is>
      </c>
      <c r="I32" s="8" t="n"/>
      <c r="J32" s="8" t="inlineStr"/>
      <c r="K32" s="12" t="inlineStr"/>
      <c r="L32" s="12" t="inlineStr"/>
      <c r="M32" s="12" t="inlineStr">
        <is>
          <t>Requiere disparar eventos en el backend (Kafka/Outbox)</t>
        </is>
      </c>
      <c r="N32" s="12" t="inlineStr">
        <is>
          <t>H-08</t>
        </is>
      </c>
    </row>
    <row r="33">
      <c r="A33" s="16" t="n">
        <v>340</v>
      </c>
      <c r="B33" s="12" t="inlineStr">
        <is>
          <t>Test HU11-1 - Verificar que una guía muestre la misma información en todas las pantallas</t>
        </is>
      </c>
      <c r="C33" s="12" t="inlineStr">
        <is>
          <t>37 - HU10-Consolidar la información de los envíos en una única fuente centralizada
38 - HU11-Consultar información centralizada de mis envíos
39 - HU1-Actualizar automáticamente los estados de los envíos</t>
        </is>
      </c>
      <c r="D33" s="12" t="inlineStr">
        <is>
          <t>Alejandro José Acosta Fernández</t>
        </is>
      </c>
      <c r="E33" s="8" t="inlineStr">
        <is>
          <t>Automatizado</t>
        </is>
      </c>
      <c r="F33" s="12" t="inlineStr">
        <is>
          <t>TS_Lote2_Automaticos</t>
        </is>
      </c>
      <c r="G33" s="12" t="inlineStr">
        <is>
          <t>Test Cases/Lote2/CentralizacionFrontend/TC340_MismaInformacionEnTodasLasPantallas</t>
        </is>
      </c>
      <c r="H33" s="8" t="inlineStr">
        <is>
          <t>Falló</t>
        </is>
      </c>
      <c r="I33" s="8" t="n">
        <v>23.6</v>
      </c>
      <c r="J33" s="8" t="inlineStr">
        <is>
          <t>2026-10-18 21:53:25</t>
        </is>
      </c>
      <c r="K33" s="12" t="inlineStr">
        <is>
          <t>Katalon (TS_Lote2_Automaticos)</t>
        </is>
      </c>
      <c r="L33" s="12" t="inlineStr">
        <is>
          <t>Test Cases/Lote2/CentralizacionFrontend/TC340_MismaInformacionEnTodasLasPantallas FAILED.
Reason:
com.kms.katalon.core.exception.StepFailedException: No se cumple: La guía aparece en Mis envíos
 at com.kms.katalon.core.util.KeywordUtil.markFailedAndStop(KeywordUtil.java:31)
 at conexion360.Helpers.verificar(Helpers.groovy:314)
 at TC340_MismaInformacionEnTodasLasPantallas.run(TC340_MismaInformacionEnTodasLasPantallas:19)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M33" s="12" t="inlineStr"/>
      <c r="N33" s="12" t="inlineStr">
        <is>
          <t>H-07, H-08, H-10</t>
        </is>
      </c>
    </row>
    <row r="34">
      <c r="A34" s="16" t="n">
        <v>341</v>
      </c>
      <c r="B34" s="12" t="inlineStr">
        <is>
          <t>Test HU2-1 - Verificar que el historial muestre todos los cambios de estado en orden</t>
        </is>
      </c>
      <c r="C34" s="12" t="inlineStr">
        <is>
          <t>32 - HU5-Visualizar el historial del envío
39 - HU1-Actualizar automáticamente los estados de los envíos
41 - HU1-Registrar cada cambio en los envíos
42 - HU2-Visualizar los cambios del envío</t>
        </is>
      </c>
      <c r="D34" s="12" t="inlineStr">
        <is>
          <t>Alejandro José Acosta Fernández</t>
        </is>
      </c>
      <c r="E34" s="8" t="inlineStr">
        <is>
          <t>Automatizado parcial</t>
        </is>
      </c>
      <c r="F34" s="12" t="inlineStr">
        <is>
          <t>(individual)</t>
        </is>
      </c>
      <c r="G34" s="12" t="inlineStr">
        <is>
          <t>Test Cases/Lote2/CentralizacionFrontend/TC341_HistorialCambiosEnOrden</t>
        </is>
      </c>
      <c r="H34" s="8" t="inlineStr">
        <is>
          <t>Falló</t>
        </is>
      </c>
      <c r="I34" s="8" t="n">
        <v>42.5</v>
      </c>
      <c r="J34" s="8" t="inlineStr">
        <is>
          <t>2026-10-18 22:06:24</t>
        </is>
      </c>
      <c r="K34" s="12" t="inlineStr">
        <is>
          <t>Katalon (TS_Reejecucion)</t>
        </is>
      </c>
      <c r="L34" s="12" t="inlineStr">
        <is>
          <t>Test Cases/Lote2/CentralizacionFrontend/TC341_HistorialCambiosEnOrden FAILED.
Reason:
com.kms.katalon.core.exception.StepFailedException: No se cumple: Existe la pestaña "Historial" en el detalle
 at com.kms.katalon.core.util.KeywordUtil.markFailedAndStop(KeywordUtil.java:31)
 at conexion360.Helpers.verificar(Helpers.groovy:323)
 at conexion360.Helpers.abrirPestana(Helpers.groovy:247)
 at TC341_HistorialCambiosEnOrden.run(TC341_HistorialCambiosEnOrden:26)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t>
        </is>
      </c>
      <c r="M34" s="12" t="inlineStr">
        <is>
          <t>Requiere hacer antes 3 cambios de estado en BPMS</t>
        </is>
      </c>
      <c r="N34" s="12" t="inlineStr">
        <is>
          <t>H-08, H-10</t>
        </is>
      </c>
    </row>
    <row r="35">
      <c r="A35" s="16" t="n">
        <v>342</v>
      </c>
      <c r="B35" s="12" t="inlineStr">
        <is>
          <t>Test HU1-3 - Verificar que el mismo cambio no genere notificaciones duplicadas</t>
        </is>
      </c>
      <c r="C35" s="12" t="inlineStr">
        <is>
          <t>43 - HU1-Recibir notificaciones cuando el estado de mi envío cambie
45 - HU3-Reintentar el envío de notificaciones fallidas</t>
        </is>
      </c>
      <c r="D35" s="12" t="inlineStr">
        <is>
          <t>Alejandro José Acosta Fernández</t>
        </is>
      </c>
      <c r="E35" s="8" t="inlineStr">
        <is>
          <t>Manual</t>
        </is>
      </c>
      <c r="F35" s="12" t="inlineStr"/>
      <c r="G35" s="12" t="inlineStr"/>
      <c r="H35" s="8" t="inlineStr">
        <is>
          <t>Pendiente manual</t>
        </is>
      </c>
      <c r="I35" s="8" t="n"/>
      <c r="J35" s="8" t="inlineStr"/>
      <c r="K35" s="12" t="inlineStr"/>
      <c r="L35" s="12" t="inlineStr"/>
      <c r="M35" s="12" t="inlineStr">
        <is>
          <t>Flujo de notificaciones en backend (Kafka/SignalR)</t>
        </is>
      </c>
      <c r="N35" s="12" t="inlineStr"/>
    </row>
    <row r="36">
      <c r="A36" s="16" t="n">
        <v>343</v>
      </c>
      <c r="B36" s="12" t="inlineStr">
        <is>
          <t>Test HU10-1 - Verificar el estado mostrado cuando las fuentes no coinciden</t>
        </is>
      </c>
      <c r="C36" s="12" t="inlineStr">
        <is>
          <t>37 - HU10-Consolidar la información de los envíos en una única fuente centralizada
39 - HU1-Actualizar automáticamente los estados de los envíos</t>
        </is>
      </c>
      <c r="D36" s="12" t="inlineStr">
        <is>
          <t>Alejandro José Acosta Fernández</t>
        </is>
      </c>
      <c r="E36" s="8" t="inlineStr">
        <is>
          <t>Manual</t>
        </is>
      </c>
      <c r="F36" s="12" t="inlineStr"/>
      <c r="G36" s="12" t="inlineStr"/>
      <c r="H36" s="8" t="inlineStr">
        <is>
          <t>Pendiente manual</t>
        </is>
      </c>
      <c r="I36" s="8" t="n"/>
      <c r="J36" s="8" t="inlineStr"/>
      <c r="K36" s="12" t="inlineStr"/>
      <c r="L36" s="12" t="inlineStr"/>
      <c r="M36" s="12" t="inlineStr">
        <is>
          <t>Requiere manipular las fuentes de datos / ETL</t>
        </is>
      </c>
      <c r="N36" s="12" t="inlineStr"/>
    </row>
    <row r="37">
      <c r="A37" s="16" t="n">
        <v>344</v>
      </c>
      <c r="B37" s="12" t="inlineStr">
        <is>
          <t>Test HU11-2 - Verificar que cada estado logístico se muestre con su valor real</t>
        </is>
      </c>
      <c r="C37" s="12" t="inlineStr">
        <is>
          <t>33 - HU6-Ver detalles completos del envío por medio de iconos
38 - HU11-Consultar información centralizada de mis envíos</t>
        </is>
      </c>
      <c r="D37" s="12" t="inlineStr">
        <is>
          <t>Alejandro José Acosta Fernández</t>
        </is>
      </c>
      <c r="E37" s="8" t="inlineStr">
        <is>
          <t>Automatizado</t>
        </is>
      </c>
      <c r="F37" s="12" t="inlineStr">
        <is>
          <t>TS_Lote2_Automaticos</t>
        </is>
      </c>
      <c r="G37" s="12" t="inlineStr">
        <is>
          <t>Test Cases/Lote2/CentralizacionFrontend/TC344_EstadosLogisticosConSuValorReal</t>
        </is>
      </c>
      <c r="H37" s="8" t="inlineStr">
        <is>
          <t>Falló</t>
        </is>
      </c>
      <c r="I37" s="8" t="n">
        <v>16.4</v>
      </c>
      <c r="J37" s="8" t="inlineStr">
        <is>
          <t>2026-10-18 21:53:25</t>
        </is>
      </c>
      <c r="K37" s="12" t="inlineStr">
        <is>
          <t>Katalon (TS_Lote2_Automaticos)</t>
        </is>
      </c>
      <c r="L37" s="12" t="inlineStr">
        <is>
          <t>Test Cases/Lote2/CentralizacionFrontend/TC344_EstadosLogisticosConSuValorReal FAILED.
Reason:
com.kms.katalon.core.exception.StepFailedException: No se cumple: HBLQA0003 aparece en Mis envíos
 at com.kms.katalon.core.util.KeywordUtil.markFailedAndStop(KeywordUtil.java:31)
 at conexion360.Helpers.verificar(Helpers.groovy:314)
 at Script1792247532472$_run_closure1.doCall(Script1792247532472.groovy:33)
 at java.base/jdk.internal.reflect.DirectMethodHandleAccessor.invoke(DirectMethodHandleAccessor.java:103)
 at TC344_EstadosLogisticosConSuValorReal.run(TC344_EstadosLogisticosConSuValorReal:29)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t>
        </is>
      </c>
      <c r="M37" s="12" t="inlineStr"/>
      <c r="N37" s="12" t="inlineStr">
        <is>
          <t>H-08, H-10</t>
        </is>
      </c>
    </row>
    <row r="38">
      <c r="A38" s="16" t="n">
        <v>345</v>
      </c>
      <c r="B38" s="12" t="inlineStr">
        <is>
          <t>Test HU10-2 - Verificar que una guía nueva en las 5 fuentes se consolide en un solo envío</t>
        </is>
      </c>
      <c r="C38" s="12" t="inlineStr">
        <is>
          <t>37 - HU10-Consolidar la información de los envíos en una única fuente centralizada
38 - HU11-Consultar información centralizada de mis envíos</t>
        </is>
      </c>
      <c r="D38" s="12" t="inlineStr">
        <is>
          <t>Alejandro José Acosta Fernández</t>
        </is>
      </c>
      <c r="E38" s="8" t="inlineStr">
        <is>
          <t>Manual</t>
        </is>
      </c>
      <c r="F38" s="12" t="inlineStr"/>
      <c r="G38" s="12" t="inlineStr"/>
      <c r="H38" s="8" t="inlineStr">
        <is>
          <t>Pendiente manual</t>
        </is>
      </c>
      <c r="I38" s="8" t="n"/>
      <c r="J38" s="8" t="inlineStr"/>
      <c r="K38" s="12" t="inlineStr"/>
      <c r="L38" s="12" t="inlineStr"/>
      <c r="M38" s="12" t="inlineStr">
        <is>
          <t>Requiere manipular las fuentes de datos / ETL</t>
        </is>
      </c>
      <c r="N38" s="12" t="inlineStr"/>
    </row>
    <row r="39">
      <c r="A39" s="16" t="n">
        <v>346</v>
      </c>
      <c r="B39" s="12" t="inlineStr">
        <is>
          <t>Test HU10-3 - Verificar el manejo de una guía con cliente distinto entre fuentes</t>
        </is>
      </c>
      <c r="C39" s="12" t="inlineStr">
        <is>
          <t>37 - HU10-Consolidar la información de los envíos en una única fuente centralizada
126 - HU3: Visualización envios</t>
        </is>
      </c>
      <c r="D39" s="12" t="inlineStr">
        <is>
          <t>Alejandro José Acosta Fernández</t>
        </is>
      </c>
      <c r="E39" s="8" t="inlineStr">
        <is>
          <t>Manual</t>
        </is>
      </c>
      <c r="F39" s="12" t="inlineStr"/>
      <c r="G39" s="12" t="inlineStr"/>
      <c r="H39" s="8" t="inlineStr">
        <is>
          <t>Pendiente manual</t>
        </is>
      </c>
      <c r="I39" s="8" t="n"/>
      <c r="J39" s="8" t="inlineStr"/>
      <c r="K39" s="12" t="inlineStr"/>
      <c r="L39" s="12" t="inlineStr"/>
      <c r="M39" s="12" t="inlineStr">
        <is>
          <t>Requiere manipular las fuentes de datos / ETL</t>
        </is>
      </c>
      <c r="N39" s="12" t="inlineStr"/>
    </row>
    <row r="40">
      <c r="A40" s="16" t="n">
        <v>347</v>
      </c>
      <c r="B40" s="12" t="inlineStr">
        <is>
          <t>Test HU2-1 - Verificar el flujo completo desde una guía nueva hasta la notificación</t>
        </is>
      </c>
      <c r="C40" s="12" t="inlineStr">
        <is>
          <t>37 - HU10-Consolidar la información de los envíos en una única fuente centralizada
40 - HU2-Integrar múltiples fuentes de datos
43 - HU1-Recibir notificaciones cuando el estado de mi envío cambie
126 - HU3: Visualización envios</t>
        </is>
      </c>
      <c r="D40" s="12" t="inlineStr">
        <is>
          <t>Alejandro José Acosta Fernández</t>
        </is>
      </c>
      <c r="E40" s="8" t="inlineStr">
        <is>
          <t>Manual</t>
        </is>
      </c>
      <c r="F40" s="12" t="inlineStr"/>
      <c r="G40" s="12" t="inlineStr"/>
      <c r="H40" s="8" t="inlineStr">
        <is>
          <t>Pendiente manual</t>
        </is>
      </c>
      <c r="I40" s="8" t="n"/>
      <c r="J40" s="8" t="inlineStr"/>
      <c r="K40" s="12" t="inlineStr"/>
      <c r="L40" s="12" t="inlineStr"/>
      <c r="M40" s="12" t="inlineStr">
        <is>
          <t>Flujo de notificaciones en backend (Kafka/SignalR)</t>
        </is>
      </c>
      <c r="N40" s="12" t="inlineStr"/>
    </row>
    <row r="41">
      <c r="A41" s="16" t="n">
        <v>348</v>
      </c>
      <c r="B41" s="12" t="inlineStr">
        <is>
          <t>Test HU10-4 - Verificar que la información centralizada se actualice con los datos más recientes</t>
        </is>
      </c>
      <c r="C41" s="12" t="inlineStr">
        <is>
          <t>3 - HU1: Visualización fechas estimadas
37 - HU10-Consolidar la información de los envíos en una única fuente centralizada</t>
        </is>
      </c>
      <c r="D41" s="12" t="inlineStr">
        <is>
          <t>Alejandro José Acosta Fernández</t>
        </is>
      </c>
      <c r="E41" s="8" t="inlineStr">
        <is>
          <t>Manual</t>
        </is>
      </c>
      <c r="F41" s="12" t="inlineStr"/>
      <c r="G41" s="12" t="inlineStr"/>
      <c r="H41" s="8" t="inlineStr">
        <is>
          <t>Pendiente manual</t>
        </is>
      </c>
      <c r="I41" s="8" t="n"/>
      <c r="J41" s="8" t="inlineStr"/>
      <c r="K41" s="12" t="inlineStr"/>
      <c r="L41" s="12" t="inlineStr"/>
      <c r="M41" s="12" t="inlineStr">
        <is>
          <t>Requiere manipular las fuentes de datos / ETL</t>
        </is>
      </c>
      <c r="N41" s="12" t="inlineStr">
        <is>
          <t>H-08</t>
        </is>
      </c>
    </row>
    <row r="42">
      <c r="A42" s="16" t="n">
        <v>349</v>
      </c>
      <c r="B42" s="12" t="inlineStr">
        <is>
          <t>Test HU1-1 - Verificar que los totales del dashboard coincidan con los envíos reales</t>
        </is>
      </c>
      <c r="C42" s="12" t="inlineStr">
        <is>
          <t>120 - HU1: Dashboard indicadores</t>
        </is>
      </c>
      <c r="D42" s="12" t="inlineStr">
        <is>
          <t>Alejandro José Acosta Fernández</t>
        </is>
      </c>
      <c r="E42" s="8" t="inlineStr">
        <is>
          <t>Automatizado</t>
        </is>
      </c>
      <c r="F42" s="12" t="inlineStr">
        <is>
          <t>TS_Lote2_Automaticos</t>
        </is>
      </c>
      <c r="G42" s="12" t="inlineStr">
        <is>
          <t>Test Cases/Lote2/CentralizacionFrontend/TC349_TotalesDashboardCoincidenConEnvios</t>
        </is>
      </c>
      <c r="H42" s="8" t="inlineStr">
        <is>
          <t>Falló</t>
        </is>
      </c>
      <c r="I42" s="8" t="n">
        <v>45.1</v>
      </c>
      <c r="J42" s="8" t="inlineStr">
        <is>
          <t>2026-10-18 21:53:25</t>
        </is>
      </c>
      <c r="K42" s="12" t="inlineStr">
        <is>
          <t>Katalon (TS_Lote2_Automaticos)</t>
        </is>
      </c>
      <c r="L42" s="12" t="inlineStr">
        <is>
          <t>Test Cases/Lote2/CentralizacionFrontend/TC349_TotalesDashboardCoincidenConEnvios FAILED.
Reason:
com.kms.katalon.core.exception.StepFailedException: No se cumple: Total de envíos: en pantalla null, esperado 15
 at com.kms.katalon.core.util.KeywordUtil.markFailedAndStop(KeywordUtil.java:31)
 at conexion360.Helpers.verificar(Helpers.groovy:314)
 at Script1792247586207$_run_closure1.doCall(Script1792247586207.groovy:28)
 at java.base/jdk.internal.reflect.DirectMethodHandleAccessor.invoke(DirectMethodHandleAccessor.java:103)
 at TC349_TotalesDashboardCoincidenConEnvios.run(TC349_TotalesDashboardCoincidenConEnvios:27)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t>
        </is>
      </c>
      <c r="M42" s="12" t="inlineStr"/>
      <c r="N42" s="12" t="inlineStr">
        <is>
          <t>H-08, H-10</t>
        </is>
      </c>
    </row>
    <row r="43">
      <c r="A43" s="16" t="n">
        <v>350</v>
      </c>
      <c r="B43" s="12" t="inlineStr">
        <is>
          <t>Test HU1-4 - Verificar que la notificación abra el detalle de la guía correcta</t>
        </is>
      </c>
      <c r="C43" s="12" t="inlineStr">
        <is>
          <t>43 - HU1-Recibir notificaciones cuando el estado de mi envío cambie</t>
        </is>
      </c>
      <c r="D43" s="12" t="inlineStr">
        <is>
          <t>Alejandro José Acosta Fernández</t>
        </is>
      </c>
      <c r="E43" s="8" t="inlineStr">
        <is>
          <t>Automatizado parcial</t>
        </is>
      </c>
      <c r="F43" s="12" t="inlineStr">
        <is>
          <t>(individual)</t>
        </is>
      </c>
      <c r="G43" s="12" t="inlineStr">
        <is>
          <t>Test Cases/Lote2/Notificaciones/TC350_NotificacionAbreDetalleCorrecto</t>
        </is>
      </c>
      <c r="H43" s="8" t="inlineStr">
        <is>
          <t>Falló</t>
        </is>
      </c>
      <c r="I43" s="8" t="n">
        <v>43.5</v>
      </c>
      <c r="J43" s="8" t="inlineStr">
        <is>
          <t>2026-10-18 22:06:24</t>
        </is>
      </c>
      <c r="K43" s="12" t="inlineStr">
        <is>
          <t>Katalon (TS_Reejecucion)</t>
        </is>
      </c>
      <c r="L43" s="12" t="inlineStr">
        <is>
          <t>Test Cases/Lote2/Notificaciones/TC350_NotificacionAbreDetalleCorrecto FAILED.
Reason:
com.kms.katalon.core.exception.StepFailedException: Unable to click on object 'xpath_4b98f5e'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TC350_NotificacionAbreDetalleCorrecto.run(TC350_NotificacionAbreDetalleCorrecto:21)
 at com.kms.k</t>
        </is>
      </c>
      <c r="M43" s="12" t="inlineStr">
        <is>
          <t>Requiere que exista la notificación (la genera el TC 333)</t>
        </is>
      </c>
      <c r="N43" s="12" t="inlineStr">
        <is>
          <t>H-10</t>
        </is>
      </c>
    </row>
    <row r="44">
      <c r="A44" s="16" t="n">
        <v>351</v>
      </c>
      <c r="B44" s="12" t="inlineStr">
        <is>
          <t>Test HU2-1 - Verificar que un cliente no acceda a funciones de administración</t>
        </is>
      </c>
      <c r="C44" s="12" t="inlineStr">
        <is>
          <t>125 - HU2: Control de Acceso
129 - HU6: Validación permisos API</t>
        </is>
      </c>
      <c r="D44" s="12" t="inlineStr">
        <is>
          <t>Alejandro José Acosta Fernández</t>
        </is>
      </c>
      <c r="E44" s="8" t="inlineStr">
        <is>
          <t>Automatizado</t>
        </is>
      </c>
      <c r="F44" s="12" t="inlineStr">
        <is>
          <t>TS_Lote2_Automaticos</t>
        </is>
      </c>
      <c r="G44" s="12" t="inlineStr">
        <is>
          <t>Test Cases/Lote2/SeguridadAcceso/TC351_ClienteSinAccesoAdministracion</t>
        </is>
      </c>
      <c r="H44" s="8" t="inlineStr">
        <is>
          <t>Falló</t>
        </is>
      </c>
      <c r="I44" s="8" t="n">
        <v>19.2</v>
      </c>
      <c r="J44" s="8" t="inlineStr">
        <is>
          <t>2026-10-18 22:06:24</t>
        </is>
      </c>
      <c r="K44" s="12" t="inlineStr">
        <is>
          <t>Katalon (TS_Reejecucion)</t>
        </is>
      </c>
      <c r="L44" s="12" t="inlineStr">
        <is>
          <t>Test Cases/Lote2/SeguridadAcceso/TC351_ClienteSinAccesoAdministracion FAILED.
Reason:
com.kms.katalon.core.exception.StepFailedException: No se cumple: GET /settings/listusers responde 503 (esperado 403)
 at com.kms.katalon.core.util.KeywordUtil.markFailedAndStop(KeywordUtil.java:31)
 at conexion360.Helpers.verificar(Helpers.groovy:323)
 at TC351_ClienteSinAccesoAdministracion.run(TC351_ClienteSinAccesoAdministracion:26)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M44" s="12" t="inlineStr"/>
      <c r="N44" s="12" t="inlineStr">
        <is>
          <t>H-10, H-12</t>
        </is>
      </c>
    </row>
    <row r="45">
      <c r="A45" s="16" t="n">
        <v>352</v>
      </c>
      <c r="B45" s="12" t="inlineStr">
        <is>
          <t>Test HU11-3 - Verificar que los datos de una guía coincidan con los de cada fuente</t>
        </is>
      </c>
      <c r="C45" s="12" t="inlineStr">
        <is>
          <t>37 - HU10-Consolidar la información de los envíos en una única fuente centralizada
38 - HU11-Consultar información centralizada de mis envíos</t>
        </is>
      </c>
      <c r="D45" s="12" t="inlineStr">
        <is>
          <t>Alejandro José Acosta Fernández</t>
        </is>
      </c>
      <c r="E45" s="8" t="inlineStr">
        <is>
          <t>Manual</t>
        </is>
      </c>
      <c r="F45" s="12" t="inlineStr"/>
      <c r="G45" s="12" t="inlineStr"/>
      <c r="H45" s="8" t="inlineStr">
        <is>
          <t>Pendiente manual</t>
        </is>
      </c>
      <c r="I45" s="8" t="n"/>
      <c r="J45" s="8" t="inlineStr"/>
      <c r="K45" s="12" t="inlineStr"/>
      <c r="L45" s="12" t="inlineStr"/>
      <c r="M45" s="12" t="inlineStr">
        <is>
          <t>Requiere manipular las fuentes de datos / ETL</t>
        </is>
      </c>
      <c r="N45" s="12" t="inlineStr">
        <is>
          <t>H-08</t>
        </is>
      </c>
    </row>
    <row r="46">
      <c r="A46" s="16" t="n">
        <v>353</v>
      </c>
      <c r="B46" s="12" t="inlineStr">
        <is>
          <t>Test HU2-2 - Verificar que el administrador pueda consultar cualquier cliente</t>
        </is>
      </c>
      <c r="C46" s="12" t="inlineStr">
        <is>
          <t>125 - HU2: Control de Acceso
127 - HU4: Acceso envios clientes</t>
        </is>
      </c>
      <c r="D46" s="12" t="inlineStr">
        <is>
          <t>Alejandro José Acosta Fernández</t>
        </is>
      </c>
      <c r="E46" s="8" t="inlineStr">
        <is>
          <t>Automatizado</t>
        </is>
      </c>
      <c r="F46" s="12" t="inlineStr">
        <is>
          <t>TS_Lote2_Automaticos</t>
        </is>
      </c>
      <c r="G46" s="12" t="inlineStr">
        <is>
          <t>Test Cases/Lote2/SeguridadAcceso/TC353_AdminConsultaCualquierCliente</t>
        </is>
      </c>
      <c r="H46" s="8" t="inlineStr">
        <is>
          <t>Falló</t>
        </is>
      </c>
      <c r="I46" s="8" t="n">
        <v>102.6</v>
      </c>
      <c r="J46" s="8" t="inlineStr">
        <is>
          <t>2026-10-18 21:53:25</t>
        </is>
      </c>
      <c r="K46" s="12" t="inlineStr">
        <is>
          <t>Katalon (TS_Lote2_Automaticos)</t>
        </is>
      </c>
      <c r="L46" s="12" t="inlineStr">
        <is>
          <t>Test Cases/Lote2/SeguridadAcceso/TC353_AdminConsultaCualquierCliente FAILED.
Reason:
com.kms.katalon.core.exception.StepFailedException: No se cumple: La vista interna muestra la columna "Cliente"
 at com.kms.katalon.core.util.KeywordUtil.markFailedAndStop(KeywordUtil.java:31)
 at conexion360.Helpers.verificar(Helpers.groovy:314)
 at TC353_AdminConsultaCualquierCliente.run(TC353_AdminConsultaCualquierCliente:20)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t>
        </is>
      </c>
      <c r="M46" s="12" t="inlineStr"/>
      <c r="N46" s="12" t="inlineStr">
        <is>
          <t>H-10</t>
        </is>
      </c>
    </row>
    <row r="47">
      <c r="A47" s="16" t="n">
        <v>354</v>
      </c>
      <c r="B47" s="12" t="inlineStr">
        <is>
          <t>Test HU10-5 - Verificar una guía que existe solo en una de las fuentes</t>
        </is>
      </c>
      <c r="C47" s="12" t="inlineStr">
        <is>
          <t>3 - HU1: Visualización fechas estimadas
37 - HU10-Consolidar la información de los envíos en una única fuente centralizada</t>
        </is>
      </c>
      <c r="D47" s="12" t="inlineStr">
        <is>
          <t>Alejandro José Acosta Fernández</t>
        </is>
      </c>
      <c r="E47" s="8" t="inlineStr">
        <is>
          <t>Manual</t>
        </is>
      </c>
      <c r="F47" s="12" t="inlineStr"/>
      <c r="G47" s="12" t="inlineStr"/>
      <c r="H47" s="8" t="inlineStr">
        <is>
          <t>Pendiente manual</t>
        </is>
      </c>
      <c r="I47" s="8" t="n"/>
      <c r="J47" s="8" t="inlineStr"/>
      <c r="K47" s="12" t="inlineStr"/>
      <c r="L47" s="12" t="inlineStr"/>
      <c r="M47" s="12" t="inlineStr">
        <is>
          <t>Requiere manipular las fuentes de datos / ETL</t>
        </is>
      </c>
      <c r="N47" s="12" t="inlineStr"/>
    </row>
    <row r="48">
      <c r="A48" s="16" t="n">
        <v>355</v>
      </c>
      <c r="B48" s="12" t="inlineStr">
        <is>
          <t>Test HU1-1 - Verificar que el historial coincida con el registro de cambios de la fuente</t>
        </is>
      </c>
      <c r="C48" s="12" t="inlineStr">
        <is>
          <t>41 - HU1-Registrar cada cambio en los envíos
42 - HU2-Visualizar los cambios del envío</t>
        </is>
      </c>
      <c r="D48" s="12" t="inlineStr">
        <is>
          <t>Alejandro José Acosta Fernández</t>
        </is>
      </c>
      <c r="E48" s="8" t="inlineStr">
        <is>
          <t>Manual</t>
        </is>
      </c>
      <c r="F48" s="12" t="inlineStr"/>
      <c r="G48" s="12" t="inlineStr"/>
      <c r="H48" s="8" t="inlineStr">
        <is>
          <t>Pendiente manual</t>
        </is>
      </c>
      <c r="I48" s="8" t="n"/>
      <c r="J48" s="8" t="inlineStr"/>
      <c r="K48" s="12" t="inlineStr"/>
      <c r="L48" s="12" t="inlineStr"/>
      <c r="M48" s="12" t="inlineStr">
        <is>
          <t>Requiere manipular las fuentes de datos / ETL</t>
        </is>
      </c>
      <c r="N48" s="12" t="inlineStr"/>
    </row>
    <row r="49">
      <c r="A49" s="16" t="n">
        <v>356</v>
      </c>
      <c r="B49" s="12" t="inlineStr">
        <is>
          <t>Test HU3-4 - Verificar que el cliente vea solo sus envíos en todas las pantallas</t>
        </is>
      </c>
      <c r="C49" s="12" t="inlineStr">
        <is>
          <t>126 - HU3: Visualización envios</t>
        </is>
      </c>
      <c r="D49" s="12" t="inlineStr">
        <is>
          <t>Alejandro José Acosta Fernández</t>
        </is>
      </c>
      <c r="E49" s="8" t="inlineStr">
        <is>
          <t>Automatizado</t>
        </is>
      </c>
      <c r="F49" s="12" t="inlineStr">
        <is>
          <t>TS_Lote2_Automaticos</t>
        </is>
      </c>
      <c r="G49" s="12" t="inlineStr">
        <is>
          <t>Test Cases/Lote2/SeguridadAcceso/TC356_ClienteSoloSusEnviosEnTodasLasPantallas</t>
        </is>
      </c>
      <c r="H49" s="8" t="inlineStr">
        <is>
          <t>Falló</t>
        </is>
      </c>
      <c r="I49" s="8" t="n">
        <v>62.5</v>
      </c>
      <c r="J49" s="8" t="inlineStr">
        <is>
          <t>2026-10-18 21:53:25</t>
        </is>
      </c>
      <c r="K49" s="12" t="inlineStr">
        <is>
          <t>Katalon (TS_Lote2_Automaticos)</t>
        </is>
      </c>
      <c r="L49" s="12" t="inlineStr">
        <is>
          <t>Test Cases/Lote2/SeguridadAcceso/TC356_ClienteSoloSusEnviosEnTodasLasPantallas FAILED.
Reason:
com.kms.katalon.core.exception.StepFailedException: No apareció el texto: Ningún envío coincide con la búsqueda o los filtros seleccionados.
 at com.kms.katalon.core.util.KeywordUtil.markFailedAndStop(KeywordUtil.java:31)
 at conexion360.Helpers.esperarTexto(Helpers.groovy:108)
 at conexion360.Helpers.esperarTexto(Helpers.groovy)
 at TC356_ClienteSoloSusEnviosEnTodasLasPantallas.run(TC356_ClienteSoloSusEnviosEnTodasLasPantallas:23)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t>
        </is>
      </c>
      <c r="M49" s="12" t="inlineStr"/>
      <c r="N49" s="12" t="inlineStr">
        <is>
          <t>H-10</t>
        </is>
      </c>
    </row>
    <row r="50">
      <c r="A50" s="16" t="n">
        <v>357</v>
      </c>
      <c r="B50" s="12" t="inlineStr">
        <is>
          <t>Test HU4-3 - Verificar que un cliente no pueda consultar otro cliente con idQueryClient</t>
        </is>
      </c>
      <c r="C50" s="12" t="inlineStr">
        <is>
          <t>127 - HU4: Acceso envios clientes</t>
        </is>
      </c>
      <c r="D50" s="12" t="inlineStr">
        <is>
          <t>Alejandro José Acosta Fernández</t>
        </is>
      </c>
      <c r="E50" s="8" t="inlineStr">
        <is>
          <t>Automatizado</t>
        </is>
      </c>
      <c r="F50" s="12" t="inlineStr">
        <is>
          <t>TS_Lote2_Automaticos</t>
        </is>
      </c>
      <c r="G50" s="12" t="inlineStr">
        <is>
          <t>Test Cases/Lote2/SeguridadAcceso/TC357_ApiIdQueryClientDeOtroCliente</t>
        </is>
      </c>
      <c r="H50" s="8" t="inlineStr">
        <is>
          <t>Pasó</t>
        </is>
      </c>
      <c r="I50" s="8" t="n">
        <v>12.8</v>
      </c>
      <c r="J50" s="8" t="inlineStr">
        <is>
          <t>2026-10-18 22:06:24</t>
        </is>
      </c>
      <c r="K50" s="12" t="inlineStr">
        <is>
          <t>Katalon (TS_Reejecucion)</t>
        </is>
      </c>
      <c r="L50" s="12" t="inlineStr"/>
      <c r="M50" s="12" t="inlineStr"/>
      <c r="N50" s="12" t="inlineStr">
        <is>
          <t>H-01, H-11, H-12</t>
        </is>
      </c>
    </row>
    <row r="51">
      <c r="A51" s="16" t="n">
        <v>358</v>
      </c>
      <c r="B51" s="12" t="inlineStr">
        <is>
          <t>Test HU2-3 - Verificar que un usuario sin rol no obtenga datos</t>
        </is>
      </c>
      <c r="C51" s="12" t="inlineStr">
        <is>
          <t>124 - HU1: Gestión roles
125 - HU2: Control de Acceso</t>
        </is>
      </c>
      <c r="D51" s="12" t="inlineStr">
        <is>
          <t>Alejandro José Acosta Fernández</t>
        </is>
      </c>
      <c r="E51" s="8" t="inlineStr">
        <is>
          <t>Automatizado</t>
        </is>
      </c>
      <c r="F51" s="12" t="inlineStr">
        <is>
          <t>TS_Lote2_Automaticos</t>
        </is>
      </c>
      <c r="G51" s="12" t="inlineStr">
        <is>
          <t>Test Cases/Lote2/SeguridadAcceso/TC358_UsuarioSinRolNoObtieneDatos</t>
        </is>
      </c>
      <c r="H51" s="8" t="inlineStr">
        <is>
          <t>Falló</t>
        </is>
      </c>
      <c r="I51" s="8" t="n">
        <v>73.09999999999999</v>
      </c>
      <c r="J51" s="8" t="inlineStr">
        <is>
          <t>2026-10-18 21:53:25</t>
        </is>
      </c>
      <c r="K51" s="12" t="inlineStr">
        <is>
          <t>Katalon (TS_Lote2_Automaticos)</t>
        </is>
      </c>
      <c r="L51" s="12" t="inlineStr">
        <is>
          <t>Test Cases/Lote2/SeguridadAcceso/TC358_UsuarioSinRolNoObtieneDatos FAILED.
Reason:
com.kms.katalon.core.exception.StepFailedException: No apareció el texto: Tu usuario no tiene un rol asignado
 at com.kms.katalon.core.util.KeywordUtil.markFailedAndStop(KeywordUtil.java:31)
 at conexion360.Helpers.esperarTexto(Helpers.groovy:108)
 at Script1792247897482$_run_closure1.doCall(Script1792247897482.groovy:19)
 at java.base/jdk.internal.reflect.DirectMethodHandleAccessor.invoke(DirectMethodHandleAccessor.java:103)
 at TC358_UsuarioSinRolNoObtieneDatos.run(TC358_UsuarioSinRolNoObtieneDatos:17)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t>
        </is>
      </c>
      <c r="M51" s="12" t="inlineStr"/>
      <c r="N51" s="12" t="inlineStr">
        <is>
          <t>H-10</t>
        </is>
      </c>
    </row>
    <row r="52">
      <c r="A52" s="16" t="n">
        <v>359</v>
      </c>
      <c r="B52" s="12" t="inlineStr">
        <is>
          <t>Test HU4-4 - Verificar que el analista vea solo los clientes que tiene asignados</t>
        </is>
      </c>
      <c r="C52" s="12" t="inlineStr">
        <is>
          <t>29 - HU2-Visualizar los envíos asignados o disponibles
127 - HU4: Acceso envios clientes</t>
        </is>
      </c>
      <c r="D52" s="12" t="inlineStr">
        <is>
          <t>Alejandro José Acosta Fernández</t>
        </is>
      </c>
      <c r="E52" s="8" t="inlineStr">
        <is>
          <t>Automatizado</t>
        </is>
      </c>
      <c r="F52" s="12" t="inlineStr">
        <is>
          <t>TS_Lote2_Automaticos</t>
        </is>
      </c>
      <c r="G52" s="12" t="inlineStr">
        <is>
          <t>Test Cases/Lote2/SeguridadAcceso/TC359_AnalistaSoloClientesAsignados</t>
        </is>
      </c>
      <c r="H52" s="8" t="inlineStr">
        <is>
          <t>Falló</t>
        </is>
      </c>
      <c r="I52" s="8" t="n">
        <v>125.6</v>
      </c>
      <c r="J52" s="8" t="inlineStr">
        <is>
          <t>2026-10-18 21:53:25</t>
        </is>
      </c>
      <c r="K52" s="12" t="inlineStr">
        <is>
          <t>Katalon (TS_Lote2_Automaticos)</t>
        </is>
      </c>
      <c r="L52" s="12" t="inlineStr">
        <is>
          <t>Test Cases/Lote2/SeguridadAcceso/TC359_AnalistaSoloClientesAsignados FAILED.
Reason:
com.kms.katalon.core.exception.StepFailedException: Unable to set text 'HBLQA0001' of object 'css_71d04265'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com.kms.katalon.core.webui.keyword.builtin.SetTextKeyword.setText(SetTextKeyword.groovy:106)
 at com.kms.katalon.core.webui.keyword.builtin.SetTextKeyword.execute(SetTextKeyword.groovy:49)
 at com.kms.katalon.core.keyword.internal.KeywordExecutor.executeKeywordForPlatform(KeywordExecutor.groovy:106)
 at com.kms.katalon.core.webui.keyword.WebUiBuiltInKeywords.setText(WebUiBuiltInKeywords.groovy:1082)
 at conexion360.Helpers.buscar(Helpers.groovy:165)
 at TC359_AnalistaSoloC</t>
        </is>
      </c>
      <c r="M52" s="12" t="inlineStr"/>
      <c r="N52" s="12" t="inlineStr">
        <is>
          <t>H-02, H-10</t>
        </is>
      </c>
    </row>
    <row r="53">
      <c r="A53" s="16" t="n">
        <v>360</v>
      </c>
      <c r="B53" s="12" t="inlineStr">
        <is>
          <t>Test HU2-2 - Verificar que un registro sin número de guía no cree un envío</t>
        </is>
      </c>
      <c r="C53" s="12" t="inlineStr">
        <is>
          <t>40 - HU2-Integrar múltiples fuentes de datos</t>
        </is>
      </c>
      <c r="D53" s="12" t="inlineStr">
        <is>
          <t>Alejandro José Acosta Fernández</t>
        </is>
      </c>
      <c r="E53" s="8" t="inlineStr">
        <is>
          <t>Manual</t>
        </is>
      </c>
      <c r="F53" s="12" t="inlineStr"/>
      <c r="G53" s="12" t="inlineStr"/>
      <c r="H53" s="8" t="inlineStr">
        <is>
          <t>Pendiente manual</t>
        </is>
      </c>
      <c r="I53" s="8" t="n"/>
      <c r="J53" s="8" t="inlineStr"/>
      <c r="K53" s="12" t="inlineStr"/>
      <c r="L53" s="12" t="inlineStr"/>
      <c r="M53" s="12" t="inlineStr">
        <is>
          <t>Requiere manipular las fuentes de datos / ETL</t>
        </is>
      </c>
      <c r="N53" s="12" t="inlineStr"/>
    </row>
    <row r="54">
      <c r="A54" s="16" t="n">
        <v>361</v>
      </c>
      <c r="B54" s="12" t="inlineStr">
        <is>
          <t>Test HU10-6 - Verificar el manejo de una guía repetida dentro de la misma fuente</t>
        </is>
      </c>
      <c r="C54" s="12" t="inlineStr">
        <is>
          <t>37 - HU10-Consolidar la información de los envíos en una única fuente centralizada
40 - HU2-Integrar múltiples fuentes de datos</t>
        </is>
      </c>
      <c r="D54" s="12" t="inlineStr">
        <is>
          <t>Alejandro José Acosta Fernández</t>
        </is>
      </c>
      <c r="E54" s="8" t="inlineStr">
        <is>
          <t>Manual</t>
        </is>
      </c>
      <c r="F54" s="12" t="inlineStr"/>
      <c r="G54" s="12" t="inlineStr"/>
      <c r="H54" s="8" t="inlineStr">
        <is>
          <t>Pendiente manual</t>
        </is>
      </c>
      <c r="I54" s="8" t="n"/>
      <c r="J54" s="8" t="inlineStr"/>
      <c r="K54" s="12" t="inlineStr"/>
      <c r="L54" s="12" t="inlineStr"/>
      <c r="M54" s="12" t="inlineStr">
        <is>
          <t>Requiere manipular las fuentes de datos / ETL</t>
        </is>
      </c>
      <c r="N54" s="12" t="inlineStr"/>
    </row>
    <row r="55">
      <c r="A55" s="16" t="n">
        <v>362</v>
      </c>
      <c r="B55" s="12" t="inlineStr">
        <is>
          <t>Test HU1-5 - Verificar que cada cambio de estado genere su propia notificación</t>
        </is>
      </c>
      <c r="C55" s="12" t="inlineStr">
        <is>
          <t>43 - HU1-Recibir notificaciones cuando el estado de mi envío cambie
44 - HU2-Enviar notificaciones automáticas basadas en eventos del sistema</t>
        </is>
      </c>
      <c r="D55" s="12" t="inlineStr">
        <is>
          <t>Alejandro José Acosta Fernández</t>
        </is>
      </c>
      <c r="E55" s="8" t="inlineStr">
        <is>
          <t>Manual</t>
        </is>
      </c>
      <c r="F55" s="12" t="inlineStr"/>
      <c r="G55" s="12" t="inlineStr"/>
      <c r="H55" s="8" t="inlineStr">
        <is>
          <t>Pendiente manual</t>
        </is>
      </c>
      <c r="I55" s="8" t="n"/>
      <c r="J55" s="8" t="inlineStr"/>
      <c r="K55" s="12" t="inlineStr"/>
      <c r="L55" s="12" t="inlineStr"/>
      <c r="M55" s="12" t="inlineStr">
        <is>
          <t>Flujo de notificaciones en backend (Kafka/SignalR)</t>
        </is>
      </c>
      <c r="N55" s="12" t="inlineStr"/>
    </row>
    <row r="56">
      <c r="A56" s="16" t="n">
        <v>363</v>
      </c>
      <c r="B56" s="12" t="inlineStr">
        <is>
          <t>Test HU1-6 - Verificar que la notificación llegue solo al cliente dueño de la guía</t>
        </is>
      </c>
      <c r="C56" s="12" t="inlineStr">
        <is>
          <t>43 - HU1-Recibir notificaciones cuando el estado de mi envío cambie
126 - HU3: Visualización envios</t>
        </is>
      </c>
      <c r="D56" s="12" t="inlineStr">
        <is>
          <t>Alejandro José Acosta Fernández</t>
        </is>
      </c>
      <c r="E56" s="8" t="inlineStr">
        <is>
          <t>Manual</t>
        </is>
      </c>
      <c r="F56" s="12" t="inlineStr"/>
      <c r="G56" s="12" t="inlineStr"/>
      <c r="H56" s="8" t="inlineStr">
        <is>
          <t>Pendiente manual</t>
        </is>
      </c>
      <c r="I56" s="8" t="n"/>
      <c r="J56" s="8" t="inlineStr"/>
      <c r="K56" s="12" t="inlineStr"/>
      <c r="L56" s="12" t="inlineStr"/>
      <c r="M56" s="12" t="inlineStr">
        <is>
          <t>Flujo de notificaciones en backend (Kafka/SignalR)</t>
        </is>
      </c>
      <c r="N56" s="12" t="inlineStr"/>
    </row>
    <row r="57">
      <c r="A57" s="16" t="n">
        <v>364</v>
      </c>
      <c r="B57" s="12" t="inlineStr">
        <is>
          <t>Test HU2-3 - Verificar que la falla de una fuente no afecte a las demás</t>
        </is>
      </c>
      <c r="C57" s="12" t="inlineStr">
        <is>
          <t>40 - HU2-Integrar múltiples fuentes de datos</t>
        </is>
      </c>
      <c r="D57" s="12" t="inlineStr">
        <is>
          <t>Alejandro José Acosta Fernández</t>
        </is>
      </c>
      <c r="E57" s="8" t="inlineStr">
        <is>
          <t>Manual</t>
        </is>
      </c>
      <c r="F57" s="12" t="inlineStr"/>
      <c r="G57" s="12" t="inlineStr"/>
      <c r="H57" s="8" t="inlineStr">
        <is>
          <t>Pendiente manual</t>
        </is>
      </c>
      <c r="I57" s="8" t="n"/>
      <c r="J57" s="8" t="inlineStr"/>
      <c r="K57" s="12" t="inlineStr"/>
      <c r="L57" s="12" t="inlineStr"/>
      <c r="M57" s="12" t="inlineStr">
        <is>
          <t>Requiere manipular las fuentes de datos / ETL</t>
        </is>
      </c>
      <c r="N57" s="12" t="inlineStr"/>
    </row>
    <row r="58">
      <c r="A58" s="16" t="n">
        <v>365</v>
      </c>
      <c r="B58" s="12" t="inlineStr">
        <is>
          <t>Test HU3-5 - Verificar que cambiar el idClient en la petición no muestre datos de otro cliente</t>
        </is>
      </c>
      <c r="C58" s="12" t="inlineStr">
        <is>
          <t>126 - HU3: Visualización envios
129 - HU6: Validación permisos API</t>
        </is>
      </c>
      <c r="D58" s="12" t="inlineStr">
        <is>
          <t>Alejandro José Acosta Fernández</t>
        </is>
      </c>
      <c r="E58" s="8" t="inlineStr">
        <is>
          <t>Automatizado</t>
        </is>
      </c>
      <c r="F58" s="12" t="inlineStr">
        <is>
          <t>TS_Lote2_Automaticos</t>
        </is>
      </c>
      <c r="G58" s="12" t="inlineStr">
        <is>
          <t>Test Cases/Lote2/SeguridadAcceso/TC365_ApiCambioIdClientNoMuestraOtroCliente</t>
        </is>
      </c>
      <c r="H58" s="8" t="inlineStr">
        <is>
          <t>Pasó</t>
        </is>
      </c>
      <c r="I58" s="8" t="n">
        <v>16.8</v>
      </c>
      <c r="J58" s="8" t="inlineStr">
        <is>
          <t>2026-10-18 22:06:24</t>
        </is>
      </c>
      <c r="K58" s="12" t="inlineStr">
        <is>
          <t>Katalon (TS_Reejecucion)</t>
        </is>
      </c>
      <c r="L58" s="12" t="inlineStr"/>
      <c r="M58" s="12" t="inlineStr"/>
      <c r="N58" s="12" t="inlineStr">
        <is>
          <t>H-01, H-11, H-12</t>
        </is>
      </c>
    </row>
    <row r="59">
      <c r="A59" s="16" t="n">
        <v>366</v>
      </c>
      <c r="B59" s="12" t="inlineStr">
        <is>
          <t>Test HU3-6 - Verificar que no se puedan recibir notificaciones de otro cliente en tiempo real</t>
        </is>
      </c>
      <c r="C59" s="12" t="inlineStr">
        <is>
          <t>126 - HU3: Visualización envios
129 - HU6: Validación permisos API</t>
        </is>
      </c>
      <c r="D59" s="12" t="inlineStr">
        <is>
          <t>Alejandro José Acosta Fernández</t>
        </is>
      </c>
      <c r="E59" s="8" t="inlineStr">
        <is>
          <t>Manual</t>
        </is>
      </c>
      <c r="F59" s="12" t="inlineStr"/>
      <c r="G59" s="12" t="inlineStr"/>
      <c r="H59" s="8" t="inlineStr">
        <is>
          <t>Pendiente manual</t>
        </is>
      </c>
      <c r="I59" s="8" t="n"/>
      <c r="J59" s="8" t="inlineStr"/>
      <c r="K59" s="12" t="inlineStr"/>
      <c r="L59" s="12" t="inlineStr"/>
      <c r="M59" s="12" t="inlineStr">
        <is>
          <t>Flujo de notificaciones en backend (Kafka/SignalR)</t>
        </is>
      </c>
      <c r="N59" s="12" t="inlineStr"/>
    </row>
    <row r="60">
      <c r="A60" s="16" t="n">
        <v>367</v>
      </c>
      <c r="B60" s="12" t="inlineStr">
        <is>
          <t>Test HU3-7 - Verificar que no se puedan leer ni modificar notificaciones de otro cliente</t>
        </is>
      </c>
      <c r="C60" s="12" t="inlineStr">
        <is>
          <t>126 - HU3: Visualización envios
129 - HU6: Validación permisos API</t>
        </is>
      </c>
      <c r="D60" s="12" t="inlineStr">
        <is>
          <t>Alejandro José Acosta Fernández</t>
        </is>
      </c>
      <c r="E60" s="8" t="inlineStr">
        <is>
          <t>Manual</t>
        </is>
      </c>
      <c r="F60" s="12" t="inlineStr"/>
      <c r="G60" s="12" t="inlineStr"/>
      <c r="H60" s="8" t="inlineStr">
        <is>
          <t>Pendiente manual</t>
        </is>
      </c>
      <c r="I60" s="8" t="n"/>
      <c r="J60" s="8" t="inlineStr"/>
      <c r="K60" s="12" t="inlineStr"/>
      <c r="L60" s="12" t="inlineStr"/>
      <c r="M60" s="12" t="inlineStr">
        <is>
          <t>Seguridad de servicios backend o de las fuentes</t>
        </is>
      </c>
      <c r="N60" s="12" t="inlineStr">
        <is>
          <t>H-04</t>
        </is>
      </c>
    </row>
    <row r="61">
      <c r="A61" s="16" t="n">
        <v>368</v>
      </c>
      <c r="B61" s="12" t="inlineStr">
        <is>
          <t>Test HU6-1 - Verificar que las fuentes no entreguen ni borren datos sin autenticación</t>
        </is>
      </c>
      <c r="C61" s="12" t="inlineStr">
        <is>
          <t>129 - HU6: Validación permisos API</t>
        </is>
      </c>
      <c r="D61" s="12" t="inlineStr">
        <is>
          <t>Alejandro José Acosta Fernández</t>
        </is>
      </c>
      <c r="E61" s="8" t="inlineStr">
        <is>
          <t>Manual</t>
        </is>
      </c>
      <c r="F61" s="12" t="inlineStr"/>
      <c r="G61" s="12" t="inlineStr"/>
      <c r="H61" s="8" t="inlineStr">
        <is>
          <t>Pendiente manual</t>
        </is>
      </c>
      <c r="I61" s="8" t="n"/>
      <c r="J61" s="8" t="inlineStr"/>
      <c r="K61" s="12" t="inlineStr"/>
      <c r="L61" s="12" t="inlineStr"/>
      <c r="M61" s="12" t="inlineStr">
        <is>
          <t>Seguridad de servicios backend o de las fuentes</t>
        </is>
      </c>
      <c r="N61" s="12" t="inlineStr"/>
    </row>
    <row r="62">
      <c r="A62" s="16" t="n">
        <v>369</v>
      </c>
      <c r="B62" s="12" t="inlineStr">
        <is>
          <t>Test HU10-7 - Verificar que al menos el 99 % de las guías coincidan con las fuentes</t>
        </is>
      </c>
      <c r="C62" s="12" t="inlineStr">
        <is>
          <t>37 - HU10-Consolidar la información de los envíos en una única fuente centralizada</t>
        </is>
      </c>
      <c r="D62" s="12" t="inlineStr">
        <is>
          <t>Alejandro José Acosta Fernández</t>
        </is>
      </c>
      <c r="E62" s="8" t="inlineStr">
        <is>
          <t>Manual</t>
        </is>
      </c>
      <c r="F62" s="12" t="inlineStr"/>
      <c r="G62" s="12" t="inlineStr"/>
      <c r="H62" s="8" t="inlineStr">
        <is>
          <t>Pendiente manual</t>
        </is>
      </c>
      <c r="I62" s="8" t="n"/>
      <c r="J62" s="8" t="inlineStr"/>
      <c r="K62" s="12" t="inlineStr"/>
      <c r="L62" s="12" t="inlineStr"/>
      <c r="M62" s="12" t="inlineStr">
        <is>
          <t>Requiere manipular las fuentes de datos / ETL</t>
        </is>
      </c>
      <c r="N62" s="12" t="inlineStr">
        <is>
          <t>H-08</t>
        </is>
      </c>
    </row>
    <row r="63">
      <c r="A63" s="16" t="n">
        <v>370</v>
      </c>
      <c r="B63" s="12" t="inlineStr">
        <is>
          <t>Test HU2-2 - Verificar que un comentario en la fuente genere su notificación</t>
        </is>
      </c>
      <c r="C63" s="12" t="inlineStr">
        <is>
          <t>44 - HU2-Enviar notificaciones automáticas basadas en eventos del sistema</t>
        </is>
      </c>
      <c r="D63" s="12" t="inlineStr">
        <is>
          <t>Alejandro José Acosta Fernández</t>
        </is>
      </c>
      <c r="E63" s="8" t="inlineStr">
        <is>
          <t>Manual</t>
        </is>
      </c>
      <c r="F63" s="12" t="inlineStr"/>
      <c r="G63" s="12" t="inlineStr"/>
      <c r="H63" s="8" t="inlineStr">
        <is>
          <t>Pendiente manual</t>
        </is>
      </c>
      <c r="I63" s="8" t="n"/>
      <c r="J63" s="8" t="inlineStr"/>
      <c r="K63" s="12" t="inlineStr"/>
      <c r="L63" s="12" t="inlineStr"/>
      <c r="M63" s="12" t="inlineStr">
        <is>
          <t>Flujo de notificaciones en backend (Kafka/SignalR)</t>
        </is>
      </c>
      <c r="N63" s="12" t="inlineStr"/>
    </row>
    <row r="64">
      <c r="A64" s="16" t="n">
        <v>371</v>
      </c>
      <c r="B64" s="12" t="inlineStr">
        <is>
          <t>Test HU2-3 - Verificar que una falla de notificaciones no congele el estado del envío</t>
        </is>
      </c>
      <c r="C64" s="12" t="inlineStr">
        <is>
          <t>39 - HU1-Actualizar automáticamente los estados de los envíos
44 - HU2-Enviar notificaciones automáticas basadas en eventos del sistema</t>
        </is>
      </c>
      <c r="D64" s="12" t="inlineStr">
        <is>
          <t>Alejandro José Acosta Fernández</t>
        </is>
      </c>
      <c r="E64" s="8" t="inlineStr">
        <is>
          <t>Manual</t>
        </is>
      </c>
      <c r="F64" s="12" t="inlineStr"/>
      <c r="G64" s="12" t="inlineStr"/>
      <c r="H64" s="8" t="inlineStr">
        <is>
          <t>Pendiente manual</t>
        </is>
      </c>
      <c r="I64" s="8" t="n"/>
      <c r="J64" s="8" t="inlineStr"/>
      <c r="K64" s="12" t="inlineStr"/>
      <c r="L64" s="12" t="inlineStr"/>
      <c r="M64" s="12" t="inlineStr">
        <is>
          <t>Flujo de notificaciones en backend (Kafka/SignalR)</t>
        </is>
      </c>
      <c r="N64" s="12" t="inlineStr"/>
    </row>
    <row r="65">
      <c r="A65" s="16" t="n">
        <v>372</v>
      </c>
      <c r="B65" s="12" t="inlineStr">
        <is>
          <t>Test HU1-7 - Verificar que no se pierdan notificaciones durante una desconexión</t>
        </is>
      </c>
      <c r="C65" s="12" t="inlineStr">
        <is>
          <t>43 - HU1-Recibir notificaciones cuando el estado de mi envío cambie</t>
        </is>
      </c>
      <c r="D65" s="12" t="inlineStr">
        <is>
          <t>Alejandro José Acosta Fernández</t>
        </is>
      </c>
      <c r="E65" s="8" t="inlineStr">
        <is>
          <t>Manual</t>
        </is>
      </c>
      <c r="F65" s="12" t="inlineStr"/>
      <c r="G65" s="12" t="inlineStr"/>
      <c r="H65" s="8" t="inlineStr">
        <is>
          <t>Pendiente manual</t>
        </is>
      </c>
      <c r="I65" s="8" t="n"/>
      <c r="J65" s="8" t="inlineStr"/>
      <c r="K65" s="12" t="inlineStr"/>
      <c r="L65" s="12" t="inlineStr"/>
      <c r="M65" s="12" t="inlineStr">
        <is>
          <t>Flujo de notificaciones en backend (Kafka/SignalR)</t>
        </is>
      </c>
      <c r="N65" s="12" t="inlineStr"/>
    </row>
    <row r="66">
      <c r="A66" s="16" t="n">
        <v>373</v>
      </c>
      <c r="B66" s="12" t="inlineStr">
        <is>
          <t>Test HU6-2 - Verificar que los servicios de envíos y notificaciones exijan autenticación</t>
        </is>
      </c>
      <c r="C66" s="12" t="inlineStr">
        <is>
          <t>129 - HU6: Validación permisos API</t>
        </is>
      </c>
      <c r="D66" s="12" t="inlineStr">
        <is>
          <t>Alejandro José Acosta Fernández</t>
        </is>
      </c>
      <c r="E66" s="8" t="inlineStr">
        <is>
          <t>Automatizado</t>
        </is>
      </c>
      <c r="F66" s="12" t="inlineStr">
        <is>
          <t>TS_Lote2_Automaticos</t>
        </is>
      </c>
      <c r="G66" s="12" t="inlineStr">
        <is>
          <t>Test Cases/Lote2/SeguridadAcceso/TC373_ServiciosExigenAutenticacion</t>
        </is>
      </c>
      <c r="H66" s="8" t="inlineStr">
        <is>
          <t>Falló</t>
        </is>
      </c>
      <c r="I66" s="8" t="n">
        <v>7.3</v>
      </c>
      <c r="J66" s="8" t="inlineStr">
        <is>
          <t>2026-10-18 22:06:24</t>
        </is>
      </c>
      <c r="K66" s="12" t="inlineStr">
        <is>
          <t>Katalon (TS_Reejecucion)</t>
        </is>
      </c>
      <c r="L66" s="12" t="inlineStr">
        <is>
          <t>Test Cases/Lote2/SeguridadAcceso/TC373_ServiciosExigenAutenticacion FAILED.
Reason:
com.kms.katalon.core.exception.StepFailedException: No se cumple: /myshipments/allshipments?idClient=3127584817&amp;page=1&amp;size=10 sin token responde 503 (esperado 401)
 at com.kms.katalon.core.util.KeywordUtil.markFailedAndStop(KeywordUtil.java:31)
 at conexion360.Helpers.verificar(Helpers.groovy:323)
 at Script1792248059895$_run_closure1.doCall(Script1792248059895.groovy:29)
 at java.base/jdk.internal.reflect.DirectMethodHandleAccessor.invoke(DirectMethodHandleAccessor.java:103)
 at TC373_ServiciosExigenAutenticacion.run(TC373_ServiciosExigenAutenticacion:27)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
        </is>
      </c>
      <c r="M66" s="12" t="inlineStr"/>
      <c r="N66" s="12" t="inlineStr">
        <is>
          <t>H-10, H-12</t>
        </is>
      </c>
    </row>
    <row r="67">
      <c r="A67" s="16" t="n">
        <v>374</v>
      </c>
      <c r="B67" s="12" t="inlineStr">
        <is>
          <t>Test HU3-8 - Verificar que el cliente no vea el ranking de otros clientes en Reportes</t>
        </is>
      </c>
      <c r="C67" s="12" t="inlineStr">
        <is>
          <t>120 - HU1: Dashboard indicadores
126 - HU3: Visualización envios</t>
        </is>
      </c>
      <c r="D67" s="12" t="inlineStr">
        <is>
          <t>Alejandro José Acosta Fernández</t>
        </is>
      </c>
      <c r="E67" s="8" t="inlineStr">
        <is>
          <t>Automatizado</t>
        </is>
      </c>
      <c r="F67" s="12" t="inlineStr">
        <is>
          <t>TS_Lote2_Automaticos</t>
        </is>
      </c>
      <c r="G67" s="12" t="inlineStr">
        <is>
          <t>Test Cases/Lote2/SeguridadAcceso/TC374_ClienteNoVeRankingEnReportes</t>
        </is>
      </c>
      <c r="H67" s="8" t="inlineStr">
        <is>
          <t>Falló</t>
        </is>
      </c>
      <c r="I67" s="8" t="n">
        <v>70</v>
      </c>
      <c r="J67" s="8" t="inlineStr">
        <is>
          <t>2026-10-18 21:53:25</t>
        </is>
      </c>
      <c r="K67" s="12" t="inlineStr">
        <is>
          <t>Katalon (TS_Lote2_Automaticos)</t>
        </is>
      </c>
      <c r="L67" s="12" t="inlineStr">
        <is>
          <t>Test Cases/Lote2/SeguridadAcceso/TC374_ClienteNoVeRankingEnReportes FAILED.
Reason:
com.kms.katalon.core.exception.StepFailedException: No apareció el texto: Reportes
 at com.kms.katalon.core.util.KeywordUtil.markFailedAndStop(KeywordUtil.java:31)
 at conexion360.Helpers.esperarTexto(Helpers.groovy:108)
 at conexion360.Helpers.esperarTexto(Helpers.groovy)
 at TC374_ClienteNoVeRankingEnReportes.run(TC374_ClienteNoVeRankingEnReportes:27)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t>
        </is>
      </c>
      <c r="M67" s="12" t="inlineStr"/>
      <c r="N67" s="12" t="inlineStr">
        <is>
          <t>H-06, H-10</t>
        </is>
      </c>
    </row>
    <row r="68">
      <c r="A68" s="16" t="n">
        <v>375</v>
      </c>
      <c r="B68" s="12" t="inlineStr">
        <is>
          <t>Test HU2-4 - Verificar el manejo de una fuente con estructura incompatible</t>
        </is>
      </c>
      <c r="C68" s="12" t="inlineStr">
        <is>
          <t>40 - HU2-Integrar múltiples fuentes de datos</t>
        </is>
      </c>
      <c r="D68" s="12" t="inlineStr">
        <is>
          <t>Alejandro José Acosta Fernández</t>
        </is>
      </c>
      <c r="E68" s="8" t="inlineStr">
        <is>
          <t>Manual</t>
        </is>
      </c>
      <c r="F68" s="12" t="inlineStr"/>
      <c r="G68" s="12" t="inlineStr"/>
      <c r="H68" s="8" t="inlineStr">
        <is>
          <t>Pendiente manual</t>
        </is>
      </c>
      <c r="I68" s="8" t="n"/>
      <c r="J68" s="8" t="inlineStr"/>
      <c r="K68" s="12" t="inlineStr"/>
      <c r="L68" s="12" t="inlineStr"/>
      <c r="M68" s="12" t="inlineStr">
        <is>
          <t>Requiere manipular las fuentes de datos / ETL</t>
        </is>
      </c>
      <c r="N68" s="12" t="inlineStr"/>
    </row>
    <row r="69">
      <c r="A69" s="16" t="n">
        <v>376</v>
      </c>
      <c r="B69" s="12" t="inlineStr">
        <is>
          <t>Test HU2-5 - Verificar que se use la versión más reciente de los datos de la fuente</t>
        </is>
      </c>
      <c r="C69" s="12" t="inlineStr">
        <is>
          <t>40 - HU2-Integrar múltiples fuentes de datos</t>
        </is>
      </c>
      <c r="D69" s="12" t="inlineStr">
        <is>
          <t>Alejandro José Acosta Fernández</t>
        </is>
      </c>
      <c r="E69" s="8" t="inlineStr">
        <is>
          <t>Manual</t>
        </is>
      </c>
      <c r="F69" s="12" t="inlineStr"/>
      <c r="G69" s="12" t="inlineStr"/>
      <c r="H69" s="8" t="inlineStr">
        <is>
          <t>Pendiente manual</t>
        </is>
      </c>
      <c r="I69" s="8" t="n"/>
      <c r="J69" s="8" t="inlineStr"/>
      <c r="K69" s="12" t="inlineStr"/>
      <c r="L69" s="12" t="inlineStr"/>
      <c r="M69" s="12" t="inlineStr">
        <is>
          <t>Requiere manipular las fuentes de datos / ETL</t>
        </is>
      </c>
      <c r="N69" s="12" t="inlineStr"/>
    </row>
    <row r="70">
      <c r="A70" s="16" t="n">
        <v>377</v>
      </c>
      <c r="B70" s="12" t="inlineStr">
        <is>
          <t>Test HU10-8 - Verificar el manejo de una guía eliminada en la fuente</t>
        </is>
      </c>
      <c r="C70" s="12" t="inlineStr">
        <is>
          <t>37 - HU10-Consolidar la información de los envíos en una única fuente centralizada
41 - HU1-Registrar cada cambio en los envíos</t>
        </is>
      </c>
      <c r="D70" s="12" t="inlineStr">
        <is>
          <t>Alejandro José Acosta Fernández</t>
        </is>
      </c>
      <c r="E70" s="8" t="inlineStr">
        <is>
          <t>Manual</t>
        </is>
      </c>
      <c r="F70" s="12" t="inlineStr"/>
      <c r="G70" s="12" t="inlineStr"/>
      <c r="H70" s="8" t="inlineStr">
        <is>
          <t>Pendiente manual</t>
        </is>
      </c>
      <c r="I70" s="8" t="n"/>
      <c r="J70" s="8" t="inlineStr"/>
      <c r="K70" s="12" t="inlineStr"/>
      <c r="L70" s="12" t="inlineStr"/>
      <c r="M70" s="12" t="inlineStr">
        <is>
          <t>Requiere manipular las fuentes de datos / ETL</t>
        </is>
      </c>
      <c r="N70" s="12" t="inlineStr"/>
    </row>
    <row r="71">
      <c r="A71" s="16" t="n">
        <v>378</v>
      </c>
      <c r="B71" s="12" t="inlineStr">
        <is>
          <t>Test HU6-3 - Verificar que los servicios de prueba y de creación de clientes exijan autenticación</t>
        </is>
      </c>
      <c r="C71" s="12" t="inlineStr">
        <is>
          <t>129 - HU6: Validación permisos API</t>
        </is>
      </c>
      <c r="D71" s="12" t="inlineStr">
        <is>
          <t>Alejandro José Acosta Fernández</t>
        </is>
      </c>
      <c r="E71" s="8" t="inlineStr">
        <is>
          <t>Automatizado</t>
        </is>
      </c>
      <c r="F71" s="12" t="inlineStr">
        <is>
          <t>(individual)</t>
        </is>
      </c>
      <c r="G71" s="12" t="inlineStr">
        <is>
          <t>Test Cases/Lote2/SeguridadAcceso/TC378_ServiciosPruebaYCreacionExigenAutenticacion</t>
        </is>
      </c>
      <c r="H71" s="8" t="inlineStr">
        <is>
          <t>No ejecutado</t>
        </is>
      </c>
      <c r="I71" s="8" t="n"/>
      <c r="J71" s="8" t="inlineStr"/>
      <c r="K71" s="12" t="inlineStr"/>
      <c r="L71" s="12" t="inlineStr"/>
      <c r="M71" s="12" t="inlineStr">
        <is>
          <t>Se corre solo: si falla, crea NIT de prueba en el ambiente</t>
        </is>
      </c>
      <c r="N71" s="12" t="inlineStr">
        <is>
          <t>H-03, H-04</t>
        </is>
      </c>
    </row>
    <row r="72">
      <c r="A72" s="16" t="n">
        <v>379</v>
      </c>
      <c r="B72" s="12" t="inlineStr">
        <is>
          <t>Test HU1-8 - Verificar que no se puedan crear notificaciones falsas para un cliente</t>
        </is>
      </c>
      <c r="C72" s="12" t="inlineStr">
        <is>
          <t>43 - HU1-Recibir notificaciones cuando el estado de mi envío cambie
129 - HU6: Validación permisos API</t>
        </is>
      </c>
      <c r="D72" s="12" t="inlineStr">
        <is>
          <t>Alejandro José Acosta Fernández</t>
        </is>
      </c>
      <c r="E72" s="8" t="inlineStr">
        <is>
          <t>Manual</t>
        </is>
      </c>
      <c r="F72" s="12" t="inlineStr"/>
      <c r="G72" s="12" t="inlineStr"/>
      <c r="H72" s="8" t="inlineStr">
        <is>
          <t>Pendiente manual</t>
        </is>
      </c>
      <c r="I72" s="8" t="n"/>
      <c r="J72" s="8" t="inlineStr"/>
      <c r="K72" s="12" t="inlineStr"/>
      <c r="L72" s="12" t="inlineStr"/>
      <c r="M72" s="12" t="inlineStr">
        <is>
          <t>Seguridad de servicios backend o de las fuentes</t>
        </is>
      </c>
      <c r="N72" s="12" t="inlineStr"/>
    </row>
    <row r="73">
      <c r="A73" s="16" t="n">
        <v>380</v>
      </c>
      <c r="B73" s="12" t="inlineStr">
        <is>
          <t>Test HU10-9 - Verificar que una guía con espacios o minúsculas no cree un envío duplicado</t>
        </is>
      </c>
      <c r="C73" s="12" t="inlineStr">
        <is>
          <t>34 - HU7-Buscar un envío por número de guía
37 - HU10-Consolidar la información de los envíos en una única fuente centralizada</t>
        </is>
      </c>
      <c r="D73" s="12" t="inlineStr">
        <is>
          <t>Alejandro José Acosta Fernández</t>
        </is>
      </c>
      <c r="E73" s="8" t="inlineStr">
        <is>
          <t>Manual</t>
        </is>
      </c>
      <c r="F73" s="12" t="inlineStr"/>
      <c r="G73" s="12" t="inlineStr"/>
      <c r="H73" s="8" t="inlineStr">
        <is>
          <t>Pendiente manual</t>
        </is>
      </c>
      <c r="I73" s="8" t="n"/>
      <c r="J73" s="8" t="inlineStr"/>
      <c r="K73" s="12" t="inlineStr"/>
      <c r="L73" s="12" t="inlineStr"/>
      <c r="M73" s="12" t="inlineStr">
        <is>
          <t>Requiere manipular las fuentes de datos / ETL</t>
        </is>
      </c>
      <c r="N73" s="12" t="inlineStr"/>
    </row>
    <row r="74">
      <c r="A74" s="16" t="n">
        <v>381</v>
      </c>
      <c r="B74" s="12" t="inlineStr">
        <is>
          <t>Test HU1-9 - Verificar que un cambio solo de escritura en el estado no genere notificación</t>
        </is>
      </c>
      <c r="C74" s="12" t="inlineStr">
        <is>
          <t>43 - HU1-Recibir notificaciones cuando el estado de mi envío cambie</t>
        </is>
      </c>
      <c r="D74" s="12" t="inlineStr">
        <is>
          <t>Alejandro José Acosta Fernández</t>
        </is>
      </c>
      <c r="E74" s="8" t="inlineStr">
        <is>
          <t>Manual</t>
        </is>
      </c>
      <c r="F74" s="12" t="inlineStr"/>
      <c r="G74" s="12" t="inlineStr"/>
      <c r="H74" s="8" t="inlineStr">
        <is>
          <t>Pendiente manual</t>
        </is>
      </c>
      <c r="I74" s="8" t="n"/>
      <c r="J74" s="8" t="inlineStr"/>
      <c r="K74" s="12" t="inlineStr"/>
      <c r="L74" s="12" t="inlineStr"/>
      <c r="M74" s="12" t="inlineStr">
        <is>
          <t>Flujo de notificaciones en backend (Kafka/SignalR)</t>
        </is>
      </c>
      <c r="N74" s="12" t="inlineStr"/>
    </row>
    <row r="75">
      <c r="A75" s="16" t="n">
        <v>382</v>
      </c>
      <c r="B75" s="12" t="inlineStr">
        <is>
          <t>Test HU1-4 - Verificar que una guía entregada pase de Mis envíos al Historial</t>
        </is>
      </c>
      <c r="C75" s="12" t="inlineStr">
        <is>
          <t>28 - HU1-Lista de mis envíos activos
38 - HU11-Consultar información centralizada de mis envíos</t>
        </is>
      </c>
      <c r="D75" s="12" t="inlineStr">
        <is>
          <t>Alejandro José Acosta Fernández</t>
        </is>
      </c>
      <c r="E75" s="8" t="inlineStr">
        <is>
          <t>Manual</t>
        </is>
      </c>
      <c r="F75" s="12" t="inlineStr"/>
      <c r="G75" s="12" t="inlineStr"/>
      <c r="H75" s="8" t="inlineStr">
        <is>
          <t>Pendiente manual</t>
        </is>
      </c>
      <c r="I75" s="8" t="n"/>
      <c r="J75" s="8" t="inlineStr"/>
      <c r="K75" s="12" t="inlineStr"/>
      <c r="L75" s="12" t="inlineStr"/>
      <c r="M75" s="12" t="inlineStr">
        <is>
          <t>Requiere manipular las fuentes de datos / ETL</t>
        </is>
      </c>
      <c r="N75" s="12" t="inlineStr">
        <is>
          <t>H-08</t>
        </is>
      </c>
    </row>
    <row r="76">
      <c r="A76" s="16" t="n">
        <v>383</v>
      </c>
      <c r="B76" s="12" t="inlineStr">
        <is>
          <t>Test HU2-6 - Verificar que la carga inicial no envíe notificaciones masivas</t>
        </is>
      </c>
      <c r="C76" s="12" t="inlineStr">
        <is>
          <t>40 - HU2-Integrar múltiples fuentes de datos
44 - HU2-Enviar notificaciones automáticas basadas en eventos del sistema</t>
        </is>
      </c>
      <c r="D76" s="12" t="inlineStr">
        <is>
          <t>Alejandro José Acosta Fernández</t>
        </is>
      </c>
      <c r="E76" s="8" t="inlineStr">
        <is>
          <t>Manual</t>
        </is>
      </c>
      <c r="F76" s="12" t="inlineStr"/>
      <c r="G76" s="12" t="inlineStr"/>
      <c r="H76" s="8" t="inlineStr">
        <is>
          <t>Pendiente manual</t>
        </is>
      </c>
      <c r="I76" s="8" t="n"/>
      <c r="J76" s="8" t="inlineStr"/>
      <c r="K76" s="12" t="inlineStr"/>
      <c r="L76" s="12" t="inlineStr"/>
      <c r="M76" s="12" t="inlineStr">
        <is>
          <t>Flujo de notificaciones en backend (Kafka/SignalR)</t>
        </is>
      </c>
      <c r="N76" s="12" t="inlineStr"/>
    </row>
    <row r="77">
      <c r="A77" s="16" t="n">
        <v>384</v>
      </c>
      <c r="B77" s="12" t="inlineStr">
        <is>
          <t>Test HU6-4 - Verificar que un token emitido por el API Gateway no dé acceso a los datos</t>
        </is>
      </c>
      <c r="C77" s="12" t="inlineStr">
        <is>
          <t>129 - HU6: Validación permisos API</t>
        </is>
      </c>
      <c r="D77" s="12" t="inlineStr">
        <is>
          <t>Alejandro José Acosta Fernández</t>
        </is>
      </c>
      <c r="E77" s="8" t="inlineStr">
        <is>
          <t>Manual</t>
        </is>
      </c>
      <c r="F77" s="12" t="inlineStr"/>
      <c r="G77" s="12" t="inlineStr"/>
      <c r="H77" s="8" t="inlineStr">
        <is>
          <t>Pendiente manual</t>
        </is>
      </c>
      <c r="I77" s="8" t="n"/>
      <c r="J77" s="8" t="inlineStr"/>
      <c r="K77" s="12" t="inlineStr"/>
      <c r="L77" s="12" t="inlineStr"/>
      <c r="M77" s="12" t="inlineStr">
        <is>
          <t>Seguridad de servicios backend o de las fuentes</t>
        </is>
      </c>
      <c r="N77" s="12" t="inlineStr">
        <is>
          <t>H-05</t>
        </is>
      </c>
    </row>
    <row r="78">
      <c r="A78" s="16" t="n">
        <v>385</v>
      </c>
      <c r="B78" s="12" t="inlineStr">
        <is>
          <t>Test HU2-4 - Verificar que un comentario con hora no genere notificaciones repetidas</t>
        </is>
      </c>
      <c r="C78" s="12" t="inlineStr">
        <is>
          <t>43 - HU1-Recibir notificaciones cuando el estado de mi envío cambie
44 - HU2-Enviar notificaciones automáticas basadas en eventos del sistema</t>
        </is>
      </c>
      <c r="D78" s="12" t="inlineStr">
        <is>
          <t>Alejandro José Acosta Fernández</t>
        </is>
      </c>
      <c r="E78" s="8" t="inlineStr">
        <is>
          <t>Manual</t>
        </is>
      </c>
      <c r="F78" s="12" t="inlineStr"/>
      <c r="G78" s="12" t="inlineStr"/>
      <c r="H78" s="8" t="inlineStr">
        <is>
          <t>Pendiente manual</t>
        </is>
      </c>
      <c r="I78" s="8" t="n"/>
      <c r="J78" s="8" t="inlineStr"/>
      <c r="K78" s="12" t="inlineStr"/>
      <c r="L78" s="12" t="inlineStr"/>
      <c r="M78" s="12" t="inlineStr">
        <is>
          <t>Flujo de notificaciones en backend (Kafka/SignalR)</t>
        </is>
      </c>
      <c r="N78" s="12" t="inlineStr"/>
    </row>
  </sheetData>
  <autoFilter ref="A1:N78"/>
  <conditionalFormatting sqref="H2:H78">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cols>
    <col width="8" customWidth="1" min="1" max="1"/>
    <col width="60" customWidth="1" min="2" max="2"/>
    <col width="10" customWidth="1" min="3" max="3"/>
    <col width="16" customWidth="1" min="4" max="4"/>
  </cols>
  <sheetData>
    <row r="1">
      <c r="A1" s="3" t="inlineStr">
        <is>
          <t>HU</t>
        </is>
      </c>
      <c r="B1" s="3" t="inlineStr">
        <is>
          <t>Título HU</t>
        </is>
      </c>
      <c r="C1" s="3" t="inlineStr">
        <is>
          <t>ID caso</t>
        </is>
      </c>
      <c r="D1" s="3" t="inlineStr">
        <is>
          <t>Resultado</t>
        </is>
      </c>
    </row>
    <row r="2">
      <c r="A2" s="4" t="n">
        <v>34</v>
      </c>
      <c r="B2" s="4" t="inlineStr">
        <is>
          <t>HU7-Buscar un envío por número de guía</t>
        </is>
      </c>
      <c r="C2" s="4" t="n">
        <v>304</v>
      </c>
      <c r="D2" s="4">
        <f>INDEX(Detalle!$H$2:$H$78,MATCH(C2,Detalle!$A$2:$A$78,0))</f>
        <v/>
      </c>
    </row>
    <row r="3">
      <c r="A3" s="4" t="n">
        <v>34</v>
      </c>
      <c r="B3" s="4" t="inlineStr">
        <is>
          <t>HU7-Buscar un envío por número de guía</t>
        </is>
      </c>
      <c r="C3" s="4" t="n">
        <v>305</v>
      </c>
      <c r="D3" s="4">
        <f>INDEX(Detalle!$H$2:$H$78,MATCH(C3,Detalle!$A$2:$A$78,0))</f>
        <v/>
      </c>
    </row>
    <row r="4">
      <c r="A4" s="4" t="n">
        <v>34</v>
      </c>
      <c r="B4" s="4" t="inlineStr">
        <is>
          <t>HU7-Buscar un envío por número de guía</t>
        </is>
      </c>
      <c r="C4" s="4" t="n">
        <v>306</v>
      </c>
      <c r="D4" s="4">
        <f>INDEX(Detalle!$H$2:$H$78,MATCH(C4,Detalle!$A$2:$A$78,0))</f>
        <v/>
      </c>
    </row>
    <row r="5">
      <c r="A5" s="4" t="n">
        <v>28</v>
      </c>
      <c r="B5" s="4" t="inlineStr">
        <is>
          <t>HU1-Lista de mis envíos activos</t>
        </is>
      </c>
      <c r="C5" s="4" t="n">
        <v>307</v>
      </c>
      <c r="D5" s="4">
        <f>INDEX(Detalle!$H$2:$H$78,MATCH(C5,Detalle!$A$2:$A$78,0))</f>
        <v/>
      </c>
    </row>
    <row r="6">
      <c r="A6" s="4" t="n">
        <v>28</v>
      </c>
      <c r="B6" s="4" t="inlineStr">
        <is>
          <t>HU1-Lista de mis envíos activos</t>
        </is>
      </c>
      <c r="C6" s="4" t="n">
        <v>308</v>
      </c>
      <c r="D6" s="4">
        <f>INDEX(Detalle!$H$2:$H$78,MATCH(C6,Detalle!$A$2:$A$78,0))</f>
        <v/>
      </c>
    </row>
    <row r="7">
      <c r="A7" s="4" t="n">
        <v>121</v>
      </c>
      <c r="B7" s="4" t="inlineStr">
        <is>
          <t>HU2: Inicio de sesión</t>
        </is>
      </c>
      <c r="C7" s="4" t="n">
        <v>309</v>
      </c>
      <c r="D7" s="4">
        <f>INDEX(Detalle!$H$2:$H$78,MATCH(C7,Detalle!$A$2:$A$78,0))</f>
        <v/>
      </c>
    </row>
    <row r="8">
      <c r="A8" s="4" t="n">
        <v>121</v>
      </c>
      <c r="B8" s="4" t="inlineStr">
        <is>
          <t>HU2: Inicio de sesión</t>
        </is>
      </c>
      <c r="C8" s="4" t="n">
        <v>310</v>
      </c>
      <c r="D8" s="4">
        <f>INDEX(Detalle!$H$2:$H$78,MATCH(C8,Detalle!$A$2:$A$78,0))</f>
        <v/>
      </c>
    </row>
    <row r="9">
      <c r="A9" s="4" t="n">
        <v>121</v>
      </c>
      <c r="B9" s="4" t="inlineStr">
        <is>
          <t>HU2: Inicio de sesión</t>
        </is>
      </c>
      <c r="C9" s="4" t="n">
        <v>311</v>
      </c>
      <c r="D9" s="4">
        <f>INDEX(Detalle!$H$2:$H$78,MATCH(C9,Detalle!$A$2:$A$78,0))</f>
        <v/>
      </c>
    </row>
    <row r="10">
      <c r="A10" s="4" t="n">
        <v>121</v>
      </c>
      <c r="B10" s="4" t="inlineStr">
        <is>
          <t>HU2: Inicio de sesión</t>
        </is>
      </c>
      <c r="C10" s="4" t="n">
        <v>312</v>
      </c>
      <c r="D10" s="4">
        <f>INDEX(Detalle!$H$2:$H$78,MATCH(C10,Detalle!$A$2:$A$78,0))</f>
        <v/>
      </c>
    </row>
    <row r="11">
      <c r="A11" s="4" t="n">
        <v>214</v>
      </c>
      <c r="B11" s="4" t="inlineStr">
        <is>
          <t>HU6: Bloquear acceso tras 3 intentos fallidos</t>
        </is>
      </c>
      <c r="C11" s="4" t="n">
        <v>313</v>
      </c>
      <c r="D11" s="4">
        <f>INDEX(Detalle!$H$2:$H$78,MATCH(C11,Detalle!$A$2:$A$78,0))</f>
        <v/>
      </c>
    </row>
    <row r="12">
      <c r="A12" s="4" t="n">
        <v>214</v>
      </c>
      <c r="B12" s="4" t="inlineStr">
        <is>
          <t>HU6: Bloquear acceso tras 3 intentos fallidos</t>
        </is>
      </c>
      <c r="C12" s="4" t="n">
        <v>314</v>
      </c>
      <c r="D12" s="4">
        <f>INDEX(Detalle!$H$2:$H$78,MATCH(C12,Detalle!$A$2:$A$78,0))</f>
        <v/>
      </c>
    </row>
    <row r="13">
      <c r="A13" s="4" t="n">
        <v>214</v>
      </c>
      <c r="B13" s="4" t="inlineStr">
        <is>
          <t>HU6: Bloquear acceso tras 3 intentos fallidos</t>
        </is>
      </c>
      <c r="C13" s="4" t="n">
        <v>315</v>
      </c>
      <c r="D13" s="4">
        <f>INDEX(Detalle!$H$2:$H$78,MATCH(C13,Detalle!$A$2:$A$78,0))</f>
        <v/>
      </c>
    </row>
    <row r="14">
      <c r="A14" s="4" t="n">
        <v>126</v>
      </c>
      <c r="B14" s="4" t="inlineStr">
        <is>
          <t>HU3: Visualización envios</t>
        </is>
      </c>
      <c r="C14" s="4" t="n">
        <v>316</v>
      </c>
      <c r="D14" s="4">
        <f>INDEX(Detalle!$H$2:$H$78,MATCH(C14,Detalle!$A$2:$A$78,0))</f>
        <v/>
      </c>
    </row>
    <row r="15">
      <c r="A15" s="4" t="n">
        <v>126</v>
      </c>
      <c r="B15" s="4" t="inlineStr">
        <is>
          <t>HU3: Visualización envios</t>
        </is>
      </c>
      <c r="C15" s="4" t="n">
        <v>317</v>
      </c>
      <c r="D15" s="4">
        <f>INDEX(Detalle!$H$2:$H$78,MATCH(C15,Detalle!$A$2:$A$78,0))</f>
        <v/>
      </c>
    </row>
    <row r="16">
      <c r="A16" s="4" t="n">
        <v>126</v>
      </c>
      <c r="B16" s="4" t="inlineStr">
        <is>
          <t>HU3: Visualización envios</t>
        </is>
      </c>
      <c r="C16" s="4" t="n">
        <v>318</v>
      </c>
      <c r="D16" s="4">
        <f>INDEX(Detalle!$H$2:$H$78,MATCH(C16,Detalle!$A$2:$A$78,0))</f>
        <v/>
      </c>
    </row>
    <row r="17">
      <c r="A17" s="4" t="n">
        <v>127</v>
      </c>
      <c r="B17" s="4" t="inlineStr">
        <is>
          <t>HU4: Acceso envios clientes</t>
        </is>
      </c>
      <c r="C17" s="4" t="n">
        <v>319</v>
      </c>
      <c r="D17" s="4">
        <f>INDEX(Detalle!$H$2:$H$78,MATCH(C17,Detalle!$A$2:$A$78,0))</f>
        <v/>
      </c>
    </row>
    <row r="18">
      <c r="A18" s="4" t="n">
        <v>127</v>
      </c>
      <c r="B18" s="4" t="inlineStr">
        <is>
          <t>HU4: Acceso envios clientes</t>
        </is>
      </c>
      <c r="C18" s="4" t="n">
        <v>320</v>
      </c>
      <c r="D18" s="4">
        <f>INDEX(Detalle!$H$2:$H$78,MATCH(C18,Detalle!$A$2:$A$78,0))</f>
        <v/>
      </c>
    </row>
    <row r="19">
      <c r="A19" s="4" t="n">
        <v>28</v>
      </c>
      <c r="B19" s="4" t="inlineStr">
        <is>
          <t>HU1-Lista de mis envíos activos</t>
        </is>
      </c>
      <c r="C19" s="4" t="n">
        <v>321</v>
      </c>
      <c r="D19" s="4">
        <f>INDEX(Detalle!$H$2:$H$78,MATCH(C19,Detalle!$A$2:$A$78,0))</f>
        <v/>
      </c>
    </row>
    <row r="20">
      <c r="A20" s="4" t="n">
        <v>34</v>
      </c>
      <c r="B20" s="4" t="inlineStr">
        <is>
          <t>HU7-Buscar un envío por número de guía</t>
        </is>
      </c>
      <c r="C20" s="4" t="n">
        <v>322</v>
      </c>
      <c r="D20" s="4">
        <f>INDEX(Detalle!$H$2:$H$78,MATCH(C20,Detalle!$A$2:$A$78,0))</f>
        <v/>
      </c>
    </row>
    <row r="21">
      <c r="A21" s="4" t="n">
        <v>34</v>
      </c>
      <c r="B21" s="4" t="inlineStr">
        <is>
          <t>HU7-Buscar un envío por número de guía</t>
        </is>
      </c>
      <c r="C21" s="4" t="n">
        <v>323</v>
      </c>
      <c r="D21" s="4">
        <f>INDEX(Detalle!$H$2:$H$78,MATCH(C21,Detalle!$A$2:$A$78,0))</f>
        <v/>
      </c>
    </row>
    <row r="22">
      <c r="A22" s="4" t="n">
        <v>30</v>
      </c>
      <c r="B22" s="4" t="inlineStr">
        <is>
          <t>HU3-Ver el detalle de un envío</t>
        </is>
      </c>
      <c r="C22" s="4" t="n">
        <v>324</v>
      </c>
      <c r="D22" s="4">
        <f>INDEX(Detalle!$H$2:$H$78,MATCH(C22,Detalle!$A$2:$A$78,0))</f>
        <v/>
      </c>
    </row>
    <row r="23">
      <c r="A23" s="4" t="n">
        <v>30</v>
      </c>
      <c r="B23" s="4" t="inlineStr">
        <is>
          <t>HU3-Ver el detalle de un envío</t>
        </is>
      </c>
      <c r="C23" s="4" t="n">
        <v>325</v>
      </c>
      <c r="D23" s="4">
        <f>INDEX(Detalle!$H$2:$H$78,MATCH(C23,Detalle!$A$2:$A$78,0))</f>
        <v/>
      </c>
    </row>
    <row r="24">
      <c r="A24" s="4" t="n">
        <v>39</v>
      </c>
      <c r="B24" s="4" t="inlineStr">
        <is>
          <t>HU1-Actualizar automáticamente los estados de los envíos</t>
        </is>
      </c>
      <c r="C24" s="4" t="n">
        <v>326</v>
      </c>
      <c r="D24" s="4">
        <f>INDEX(Detalle!$H$2:$H$78,MATCH(C24,Detalle!$A$2:$A$78,0))</f>
        <v/>
      </c>
    </row>
    <row r="25">
      <c r="A25" s="4" t="n">
        <v>39</v>
      </c>
      <c r="B25" s="4" t="inlineStr">
        <is>
          <t>HU1-Actualizar automáticamente los estados de los envíos</t>
        </is>
      </c>
      <c r="C25" s="4" t="n">
        <v>327</v>
      </c>
      <c r="D25" s="4">
        <f>INDEX(Detalle!$H$2:$H$78,MATCH(C25,Detalle!$A$2:$A$78,0))</f>
        <v/>
      </c>
    </row>
    <row r="26">
      <c r="A26" s="4" t="n">
        <v>209</v>
      </c>
      <c r="B26" s="4" t="inlineStr">
        <is>
          <t>HU1: Proteger la aplicación contra ataques</t>
        </is>
      </c>
      <c r="C26" s="4" t="n">
        <v>328</v>
      </c>
      <c r="D26" s="4">
        <f>INDEX(Detalle!$H$2:$H$78,MATCH(C26,Detalle!$A$2:$A$78,0))</f>
        <v/>
      </c>
    </row>
    <row r="27">
      <c r="A27" s="4" t="n">
        <v>43</v>
      </c>
      <c r="B27" s="4" t="inlineStr">
        <is>
          <t>HU1-Recibir notificaciones cuando el estado de mi envío cambie</t>
        </is>
      </c>
      <c r="C27" s="4" t="n">
        <v>329</v>
      </c>
      <c r="D27" s="4">
        <f>INDEX(Detalle!$H$2:$H$78,MATCH(C27,Detalle!$A$2:$A$78,0))</f>
        <v/>
      </c>
    </row>
    <row r="28">
      <c r="A28" s="4" t="n">
        <v>45</v>
      </c>
      <c r="B28" s="4" t="inlineStr">
        <is>
          <t>HU3-Reintentar el envío de notificaciones fallidas</t>
        </is>
      </c>
      <c r="C28" s="4" t="n">
        <v>330</v>
      </c>
      <c r="D28" s="4">
        <f>INDEX(Detalle!$H$2:$H$78,MATCH(C28,Detalle!$A$2:$A$78,0))</f>
        <v/>
      </c>
    </row>
    <row r="29">
      <c r="A29" s="4" t="n">
        <v>45</v>
      </c>
      <c r="B29" s="4" t="inlineStr">
        <is>
          <t>HU3-Reintentar el envío de notificaciones fallidas</t>
        </is>
      </c>
      <c r="C29" s="4" t="n">
        <v>331</v>
      </c>
      <c r="D29" s="4">
        <f>INDEX(Detalle!$H$2:$H$78,MATCH(C29,Detalle!$A$2:$A$78,0))</f>
        <v/>
      </c>
    </row>
    <row r="30">
      <c r="A30" s="4" t="n">
        <v>45</v>
      </c>
      <c r="B30" s="4" t="inlineStr">
        <is>
          <t>HU3-Reintentar el envío de notificaciones fallidas</t>
        </is>
      </c>
      <c r="C30" s="4" t="n">
        <v>332</v>
      </c>
      <c r="D30" s="4">
        <f>INDEX(Detalle!$H$2:$H$78,MATCH(C30,Detalle!$A$2:$A$78,0))</f>
        <v/>
      </c>
    </row>
    <row r="31">
      <c r="A31" s="4" t="n">
        <v>43</v>
      </c>
      <c r="B31" s="4" t="inlineStr">
        <is>
          <t>HU1-Recibir notificaciones cuando el estado de mi envío cambie</t>
        </is>
      </c>
      <c r="C31" s="4" t="n">
        <v>333</v>
      </c>
      <c r="D31" s="4">
        <f>INDEX(Detalle!$H$2:$H$78,MATCH(C31,Detalle!$A$2:$A$78,0))</f>
        <v/>
      </c>
    </row>
    <row r="32">
      <c r="A32" s="4" t="n">
        <v>44</v>
      </c>
      <c r="B32" s="4" t="inlineStr">
        <is>
          <t>HU2-Enviar notificaciones automáticas basadas en eventos del sistema</t>
        </is>
      </c>
      <c r="C32" s="4" t="n">
        <v>335</v>
      </c>
      <c r="D32" s="4">
        <f>INDEX(Detalle!$H$2:$H$78,MATCH(C32,Detalle!$A$2:$A$78,0))</f>
        <v/>
      </c>
    </row>
    <row r="33">
      <c r="A33" s="4" t="n">
        <v>37</v>
      </c>
      <c r="B33" s="4" t="inlineStr">
        <is>
          <t>HU10-Consolidar la información de los envíos en una única fuente centralizada</t>
        </is>
      </c>
      <c r="C33" s="4" t="n">
        <v>340</v>
      </c>
      <c r="D33" s="4">
        <f>INDEX(Detalle!$H$2:$H$78,MATCH(C33,Detalle!$A$2:$A$78,0))</f>
        <v/>
      </c>
    </row>
    <row r="34">
      <c r="A34" s="4" t="n">
        <v>38</v>
      </c>
      <c r="B34" s="4" t="inlineStr">
        <is>
          <t>HU11-Consultar información centralizada de mis envíos</t>
        </is>
      </c>
      <c r="C34" s="4" t="n">
        <v>340</v>
      </c>
      <c r="D34" s="4">
        <f>INDEX(Detalle!$H$2:$H$78,MATCH(C34,Detalle!$A$2:$A$78,0))</f>
        <v/>
      </c>
    </row>
    <row r="35">
      <c r="A35" s="4" t="n">
        <v>39</v>
      </c>
      <c r="B35" s="4" t="inlineStr">
        <is>
          <t>HU1-Actualizar automáticamente los estados de los envíos</t>
        </is>
      </c>
      <c r="C35" s="4" t="n">
        <v>340</v>
      </c>
      <c r="D35" s="4">
        <f>INDEX(Detalle!$H$2:$H$78,MATCH(C35,Detalle!$A$2:$A$78,0))</f>
        <v/>
      </c>
    </row>
    <row r="36">
      <c r="A36" s="4" t="n">
        <v>32</v>
      </c>
      <c r="B36" s="4" t="inlineStr">
        <is>
          <t>HU5-Visualizar el historial del envío</t>
        </is>
      </c>
      <c r="C36" s="4" t="n">
        <v>341</v>
      </c>
      <c r="D36" s="4">
        <f>INDEX(Detalle!$H$2:$H$78,MATCH(C36,Detalle!$A$2:$A$78,0))</f>
        <v/>
      </c>
    </row>
    <row r="37">
      <c r="A37" s="4" t="n">
        <v>39</v>
      </c>
      <c r="B37" s="4" t="inlineStr">
        <is>
          <t>HU1-Actualizar automáticamente los estados de los envíos</t>
        </is>
      </c>
      <c r="C37" s="4" t="n">
        <v>341</v>
      </c>
      <c r="D37" s="4">
        <f>INDEX(Detalle!$H$2:$H$78,MATCH(C37,Detalle!$A$2:$A$78,0))</f>
        <v/>
      </c>
    </row>
    <row r="38">
      <c r="A38" s="4" t="n">
        <v>41</v>
      </c>
      <c r="B38" s="4" t="inlineStr">
        <is>
          <t>HU1-Registrar cada cambio en los envíos</t>
        </is>
      </c>
      <c r="C38" s="4" t="n">
        <v>341</v>
      </c>
      <c r="D38" s="4">
        <f>INDEX(Detalle!$H$2:$H$78,MATCH(C38,Detalle!$A$2:$A$78,0))</f>
        <v/>
      </c>
    </row>
    <row r="39">
      <c r="A39" s="4" t="n">
        <v>42</v>
      </c>
      <c r="B39" s="4" t="inlineStr">
        <is>
          <t>HU2-Visualizar los cambios del envío</t>
        </is>
      </c>
      <c r="C39" s="4" t="n">
        <v>341</v>
      </c>
      <c r="D39" s="4">
        <f>INDEX(Detalle!$H$2:$H$78,MATCH(C39,Detalle!$A$2:$A$78,0))</f>
        <v/>
      </c>
    </row>
    <row r="40">
      <c r="A40" s="4" t="n">
        <v>43</v>
      </c>
      <c r="B40" s="4" t="inlineStr">
        <is>
          <t>HU1-Recibir notificaciones cuando el estado de mi envío cambie</t>
        </is>
      </c>
      <c r="C40" s="4" t="n">
        <v>342</v>
      </c>
      <c r="D40" s="4">
        <f>INDEX(Detalle!$H$2:$H$78,MATCH(C40,Detalle!$A$2:$A$78,0))</f>
        <v/>
      </c>
    </row>
    <row r="41">
      <c r="A41" s="4" t="n">
        <v>45</v>
      </c>
      <c r="B41" s="4" t="inlineStr">
        <is>
          <t>HU3-Reintentar el envío de notificaciones fallidas</t>
        </is>
      </c>
      <c r="C41" s="4" t="n">
        <v>342</v>
      </c>
      <c r="D41" s="4">
        <f>INDEX(Detalle!$H$2:$H$78,MATCH(C41,Detalle!$A$2:$A$78,0))</f>
        <v/>
      </c>
    </row>
    <row r="42">
      <c r="A42" s="4" t="n">
        <v>37</v>
      </c>
      <c r="B42" s="4" t="inlineStr">
        <is>
          <t>HU10-Consolidar la información de los envíos en una única fuente centralizada</t>
        </is>
      </c>
      <c r="C42" s="4" t="n">
        <v>343</v>
      </c>
      <c r="D42" s="4">
        <f>INDEX(Detalle!$H$2:$H$78,MATCH(C42,Detalle!$A$2:$A$78,0))</f>
        <v/>
      </c>
    </row>
    <row r="43">
      <c r="A43" s="4" t="n">
        <v>39</v>
      </c>
      <c r="B43" s="4" t="inlineStr">
        <is>
          <t>HU1-Actualizar automáticamente los estados de los envíos</t>
        </is>
      </c>
      <c r="C43" s="4" t="n">
        <v>343</v>
      </c>
      <c r="D43" s="4">
        <f>INDEX(Detalle!$H$2:$H$78,MATCH(C43,Detalle!$A$2:$A$78,0))</f>
        <v/>
      </c>
    </row>
    <row r="44">
      <c r="A44" s="4" t="n">
        <v>33</v>
      </c>
      <c r="B44" s="4" t="inlineStr">
        <is>
          <t>HU6-Ver detalles completos del envío por medio de iconos</t>
        </is>
      </c>
      <c r="C44" s="4" t="n">
        <v>344</v>
      </c>
      <c r="D44" s="4">
        <f>INDEX(Detalle!$H$2:$H$78,MATCH(C44,Detalle!$A$2:$A$78,0))</f>
        <v/>
      </c>
    </row>
    <row r="45">
      <c r="A45" s="4" t="n">
        <v>38</v>
      </c>
      <c r="B45" s="4" t="inlineStr">
        <is>
          <t>HU11-Consultar información centralizada de mis envíos</t>
        </is>
      </c>
      <c r="C45" s="4" t="n">
        <v>344</v>
      </c>
      <c r="D45" s="4">
        <f>INDEX(Detalle!$H$2:$H$78,MATCH(C45,Detalle!$A$2:$A$78,0))</f>
        <v/>
      </c>
    </row>
    <row r="46">
      <c r="A46" s="4" t="n">
        <v>37</v>
      </c>
      <c r="B46" s="4" t="inlineStr">
        <is>
          <t>HU10-Consolidar la información de los envíos en una única fuente centralizada</t>
        </is>
      </c>
      <c r="C46" s="4" t="n">
        <v>345</v>
      </c>
      <c r="D46" s="4">
        <f>INDEX(Detalle!$H$2:$H$78,MATCH(C46,Detalle!$A$2:$A$78,0))</f>
        <v/>
      </c>
    </row>
    <row r="47">
      <c r="A47" s="4" t="n">
        <v>38</v>
      </c>
      <c r="B47" s="4" t="inlineStr">
        <is>
          <t>HU11-Consultar información centralizada de mis envíos</t>
        </is>
      </c>
      <c r="C47" s="4" t="n">
        <v>345</v>
      </c>
      <c r="D47" s="4">
        <f>INDEX(Detalle!$H$2:$H$78,MATCH(C47,Detalle!$A$2:$A$78,0))</f>
        <v/>
      </c>
    </row>
    <row r="48">
      <c r="A48" s="4" t="n">
        <v>37</v>
      </c>
      <c r="B48" s="4" t="inlineStr">
        <is>
          <t>HU10-Consolidar la información de los envíos en una única fuente centralizada</t>
        </is>
      </c>
      <c r="C48" s="4" t="n">
        <v>346</v>
      </c>
      <c r="D48" s="4">
        <f>INDEX(Detalle!$H$2:$H$78,MATCH(C48,Detalle!$A$2:$A$78,0))</f>
        <v/>
      </c>
    </row>
    <row r="49">
      <c r="A49" s="4" t="n">
        <v>126</v>
      </c>
      <c r="B49" s="4" t="inlineStr">
        <is>
          <t>HU3: Visualización envios</t>
        </is>
      </c>
      <c r="C49" s="4" t="n">
        <v>346</v>
      </c>
      <c r="D49" s="4">
        <f>INDEX(Detalle!$H$2:$H$78,MATCH(C49,Detalle!$A$2:$A$78,0))</f>
        <v/>
      </c>
    </row>
    <row r="50">
      <c r="A50" s="4" t="n">
        <v>37</v>
      </c>
      <c r="B50" s="4" t="inlineStr">
        <is>
          <t>HU10-Consolidar la información de los envíos en una única fuente centralizada</t>
        </is>
      </c>
      <c r="C50" s="4" t="n">
        <v>347</v>
      </c>
      <c r="D50" s="4">
        <f>INDEX(Detalle!$H$2:$H$78,MATCH(C50,Detalle!$A$2:$A$78,0))</f>
        <v/>
      </c>
    </row>
    <row r="51">
      <c r="A51" s="4" t="n">
        <v>40</v>
      </c>
      <c r="B51" s="4" t="inlineStr">
        <is>
          <t>HU2-Integrar múltiples fuentes de datos</t>
        </is>
      </c>
      <c r="C51" s="4" t="n">
        <v>347</v>
      </c>
      <c r="D51" s="4">
        <f>INDEX(Detalle!$H$2:$H$78,MATCH(C51,Detalle!$A$2:$A$78,0))</f>
        <v/>
      </c>
    </row>
    <row r="52">
      <c r="A52" s="4" t="n">
        <v>43</v>
      </c>
      <c r="B52" s="4" t="inlineStr">
        <is>
          <t>HU1-Recibir notificaciones cuando el estado de mi envío cambie</t>
        </is>
      </c>
      <c r="C52" s="4" t="n">
        <v>347</v>
      </c>
      <c r="D52" s="4">
        <f>INDEX(Detalle!$H$2:$H$78,MATCH(C52,Detalle!$A$2:$A$78,0))</f>
        <v/>
      </c>
    </row>
    <row r="53">
      <c r="A53" s="4" t="n">
        <v>126</v>
      </c>
      <c r="B53" s="4" t="inlineStr">
        <is>
          <t>HU3: Visualización envios</t>
        </is>
      </c>
      <c r="C53" s="4" t="n">
        <v>347</v>
      </c>
      <c r="D53" s="4">
        <f>INDEX(Detalle!$H$2:$H$78,MATCH(C53,Detalle!$A$2:$A$78,0))</f>
        <v/>
      </c>
    </row>
    <row r="54">
      <c r="A54" s="4" t="n">
        <v>3</v>
      </c>
      <c r="B54" s="4" t="inlineStr">
        <is>
          <t>HU1: Visualización fechas estimadas</t>
        </is>
      </c>
      <c r="C54" s="4" t="n">
        <v>348</v>
      </c>
      <c r="D54" s="4">
        <f>INDEX(Detalle!$H$2:$H$78,MATCH(C54,Detalle!$A$2:$A$78,0))</f>
        <v/>
      </c>
    </row>
    <row r="55">
      <c r="A55" s="4" t="n">
        <v>37</v>
      </c>
      <c r="B55" s="4" t="inlineStr">
        <is>
          <t>HU10-Consolidar la información de los envíos en una única fuente centralizada</t>
        </is>
      </c>
      <c r="C55" s="4" t="n">
        <v>348</v>
      </c>
      <c r="D55" s="4">
        <f>INDEX(Detalle!$H$2:$H$78,MATCH(C55,Detalle!$A$2:$A$78,0))</f>
        <v/>
      </c>
    </row>
    <row r="56">
      <c r="A56" s="4" t="n">
        <v>120</v>
      </c>
      <c r="B56" s="4" t="inlineStr">
        <is>
          <t>HU1: Dashboard indicadores</t>
        </is>
      </c>
      <c r="C56" s="4" t="n">
        <v>349</v>
      </c>
      <c r="D56" s="4">
        <f>INDEX(Detalle!$H$2:$H$78,MATCH(C56,Detalle!$A$2:$A$78,0))</f>
        <v/>
      </c>
    </row>
    <row r="57">
      <c r="A57" s="4" t="n">
        <v>43</v>
      </c>
      <c r="B57" s="4" t="inlineStr">
        <is>
          <t>HU1-Recibir notificaciones cuando el estado de mi envío cambie</t>
        </is>
      </c>
      <c r="C57" s="4" t="n">
        <v>350</v>
      </c>
      <c r="D57" s="4">
        <f>INDEX(Detalle!$H$2:$H$78,MATCH(C57,Detalle!$A$2:$A$78,0))</f>
        <v/>
      </c>
    </row>
    <row r="58">
      <c r="A58" s="4" t="n">
        <v>125</v>
      </c>
      <c r="B58" s="4" t="inlineStr">
        <is>
          <t>HU2: Control de Acceso</t>
        </is>
      </c>
      <c r="C58" s="4" t="n">
        <v>351</v>
      </c>
      <c r="D58" s="4">
        <f>INDEX(Detalle!$H$2:$H$78,MATCH(C58,Detalle!$A$2:$A$78,0))</f>
        <v/>
      </c>
    </row>
    <row r="59">
      <c r="A59" s="4" t="n">
        <v>129</v>
      </c>
      <c r="B59" s="4" t="inlineStr">
        <is>
          <t>HU6: Validación permisos API</t>
        </is>
      </c>
      <c r="C59" s="4" t="n">
        <v>351</v>
      </c>
      <c r="D59" s="4">
        <f>INDEX(Detalle!$H$2:$H$78,MATCH(C59,Detalle!$A$2:$A$78,0))</f>
        <v/>
      </c>
    </row>
    <row r="60">
      <c r="A60" s="4" t="n">
        <v>37</v>
      </c>
      <c r="B60" s="4" t="inlineStr">
        <is>
          <t>HU10-Consolidar la información de los envíos en una única fuente centralizada</t>
        </is>
      </c>
      <c r="C60" s="4" t="n">
        <v>352</v>
      </c>
      <c r="D60" s="4">
        <f>INDEX(Detalle!$H$2:$H$78,MATCH(C60,Detalle!$A$2:$A$78,0))</f>
        <v/>
      </c>
    </row>
    <row r="61">
      <c r="A61" s="4" t="n">
        <v>38</v>
      </c>
      <c r="B61" s="4" t="inlineStr">
        <is>
          <t>HU11-Consultar información centralizada de mis envíos</t>
        </is>
      </c>
      <c r="C61" s="4" t="n">
        <v>352</v>
      </c>
      <c r="D61" s="4">
        <f>INDEX(Detalle!$H$2:$H$78,MATCH(C61,Detalle!$A$2:$A$78,0))</f>
        <v/>
      </c>
    </row>
    <row r="62">
      <c r="A62" s="4" t="n">
        <v>125</v>
      </c>
      <c r="B62" s="4" t="inlineStr">
        <is>
          <t>HU2: Control de Acceso</t>
        </is>
      </c>
      <c r="C62" s="4" t="n">
        <v>353</v>
      </c>
      <c r="D62" s="4">
        <f>INDEX(Detalle!$H$2:$H$78,MATCH(C62,Detalle!$A$2:$A$78,0))</f>
        <v/>
      </c>
    </row>
    <row r="63">
      <c r="A63" s="4" t="n">
        <v>127</v>
      </c>
      <c r="B63" s="4" t="inlineStr">
        <is>
          <t>HU4: Acceso envios clientes</t>
        </is>
      </c>
      <c r="C63" s="4" t="n">
        <v>353</v>
      </c>
      <c r="D63" s="4">
        <f>INDEX(Detalle!$H$2:$H$78,MATCH(C63,Detalle!$A$2:$A$78,0))</f>
        <v/>
      </c>
    </row>
    <row r="64">
      <c r="A64" s="4" t="n">
        <v>3</v>
      </c>
      <c r="B64" s="4" t="inlineStr">
        <is>
          <t>HU1: Visualización fechas estimadas</t>
        </is>
      </c>
      <c r="C64" s="4" t="n">
        <v>354</v>
      </c>
      <c r="D64" s="4">
        <f>INDEX(Detalle!$H$2:$H$78,MATCH(C64,Detalle!$A$2:$A$78,0))</f>
        <v/>
      </c>
    </row>
    <row r="65">
      <c r="A65" s="4" t="n">
        <v>37</v>
      </c>
      <c r="B65" s="4" t="inlineStr">
        <is>
          <t>HU10-Consolidar la información de los envíos en una única fuente centralizada</t>
        </is>
      </c>
      <c r="C65" s="4" t="n">
        <v>354</v>
      </c>
      <c r="D65" s="4">
        <f>INDEX(Detalle!$H$2:$H$78,MATCH(C65,Detalle!$A$2:$A$78,0))</f>
        <v/>
      </c>
    </row>
    <row r="66">
      <c r="A66" s="4" t="n">
        <v>41</v>
      </c>
      <c r="B66" s="4" t="inlineStr">
        <is>
          <t>HU1-Registrar cada cambio en los envíos</t>
        </is>
      </c>
      <c r="C66" s="4" t="n">
        <v>355</v>
      </c>
      <c r="D66" s="4">
        <f>INDEX(Detalle!$H$2:$H$78,MATCH(C66,Detalle!$A$2:$A$78,0))</f>
        <v/>
      </c>
    </row>
    <row r="67">
      <c r="A67" s="4" t="n">
        <v>42</v>
      </c>
      <c r="B67" s="4" t="inlineStr">
        <is>
          <t>HU2-Visualizar los cambios del envío</t>
        </is>
      </c>
      <c r="C67" s="4" t="n">
        <v>355</v>
      </c>
      <c r="D67" s="4">
        <f>INDEX(Detalle!$H$2:$H$78,MATCH(C67,Detalle!$A$2:$A$78,0))</f>
        <v/>
      </c>
    </row>
    <row r="68">
      <c r="A68" s="4" t="n">
        <v>126</v>
      </c>
      <c r="B68" s="4" t="inlineStr">
        <is>
          <t>HU3: Visualización envios</t>
        </is>
      </c>
      <c r="C68" s="4" t="n">
        <v>356</v>
      </c>
      <c r="D68" s="4">
        <f>INDEX(Detalle!$H$2:$H$78,MATCH(C68,Detalle!$A$2:$A$78,0))</f>
        <v/>
      </c>
    </row>
    <row r="69">
      <c r="A69" s="4" t="n">
        <v>127</v>
      </c>
      <c r="B69" s="4" t="inlineStr">
        <is>
          <t>HU4: Acceso envios clientes</t>
        </is>
      </c>
      <c r="C69" s="4" t="n">
        <v>357</v>
      </c>
      <c r="D69" s="4">
        <f>INDEX(Detalle!$H$2:$H$78,MATCH(C69,Detalle!$A$2:$A$78,0))</f>
        <v/>
      </c>
    </row>
    <row r="70">
      <c r="A70" s="4" t="n">
        <v>124</v>
      </c>
      <c r="B70" s="4" t="inlineStr">
        <is>
          <t>HU1: Gestión roles</t>
        </is>
      </c>
      <c r="C70" s="4" t="n">
        <v>358</v>
      </c>
      <c r="D70" s="4">
        <f>INDEX(Detalle!$H$2:$H$78,MATCH(C70,Detalle!$A$2:$A$78,0))</f>
        <v/>
      </c>
    </row>
    <row r="71">
      <c r="A71" s="4" t="n">
        <v>125</v>
      </c>
      <c r="B71" s="4" t="inlineStr">
        <is>
          <t>HU2: Control de Acceso</t>
        </is>
      </c>
      <c r="C71" s="4" t="n">
        <v>358</v>
      </c>
      <c r="D71" s="4">
        <f>INDEX(Detalle!$H$2:$H$78,MATCH(C71,Detalle!$A$2:$A$78,0))</f>
        <v/>
      </c>
    </row>
    <row r="72">
      <c r="A72" s="4" t="n">
        <v>29</v>
      </c>
      <c r="B72" s="4" t="inlineStr">
        <is>
          <t>HU2-Visualizar los envíos asignados o disponibles</t>
        </is>
      </c>
      <c r="C72" s="4" t="n">
        <v>359</v>
      </c>
      <c r="D72" s="4">
        <f>INDEX(Detalle!$H$2:$H$78,MATCH(C72,Detalle!$A$2:$A$78,0))</f>
        <v/>
      </c>
    </row>
    <row r="73">
      <c r="A73" s="4" t="n">
        <v>127</v>
      </c>
      <c r="B73" s="4" t="inlineStr">
        <is>
          <t>HU4: Acceso envios clientes</t>
        </is>
      </c>
      <c r="C73" s="4" t="n">
        <v>359</v>
      </c>
      <c r="D73" s="4">
        <f>INDEX(Detalle!$H$2:$H$78,MATCH(C73,Detalle!$A$2:$A$78,0))</f>
        <v/>
      </c>
    </row>
    <row r="74">
      <c r="A74" s="4" t="n">
        <v>40</v>
      </c>
      <c r="B74" s="4" t="inlineStr">
        <is>
          <t>HU2-Integrar múltiples fuentes de datos</t>
        </is>
      </c>
      <c r="C74" s="4" t="n">
        <v>360</v>
      </c>
      <c r="D74" s="4">
        <f>INDEX(Detalle!$H$2:$H$78,MATCH(C74,Detalle!$A$2:$A$78,0))</f>
        <v/>
      </c>
    </row>
    <row r="75">
      <c r="A75" s="4" t="n">
        <v>37</v>
      </c>
      <c r="B75" s="4" t="inlineStr">
        <is>
          <t>HU10-Consolidar la información de los envíos en una única fuente centralizada</t>
        </is>
      </c>
      <c r="C75" s="4" t="n">
        <v>361</v>
      </c>
      <c r="D75" s="4">
        <f>INDEX(Detalle!$H$2:$H$78,MATCH(C75,Detalle!$A$2:$A$78,0))</f>
        <v/>
      </c>
    </row>
    <row r="76">
      <c r="A76" s="4" t="n">
        <v>40</v>
      </c>
      <c r="B76" s="4" t="inlineStr">
        <is>
          <t>HU2-Integrar múltiples fuentes de datos</t>
        </is>
      </c>
      <c r="C76" s="4" t="n">
        <v>361</v>
      </c>
      <c r="D76" s="4">
        <f>INDEX(Detalle!$H$2:$H$78,MATCH(C76,Detalle!$A$2:$A$78,0))</f>
        <v/>
      </c>
    </row>
    <row r="77">
      <c r="A77" s="4" t="n">
        <v>43</v>
      </c>
      <c r="B77" s="4" t="inlineStr">
        <is>
          <t>HU1-Recibir notificaciones cuando el estado de mi envío cambie</t>
        </is>
      </c>
      <c r="C77" s="4" t="n">
        <v>362</v>
      </c>
      <c r="D77" s="4">
        <f>INDEX(Detalle!$H$2:$H$78,MATCH(C77,Detalle!$A$2:$A$78,0))</f>
        <v/>
      </c>
    </row>
    <row r="78">
      <c r="A78" s="4" t="n">
        <v>44</v>
      </c>
      <c r="B78" s="4" t="inlineStr">
        <is>
          <t>HU2-Enviar notificaciones automáticas basadas en eventos del sistema</t>
        </is>
      </c>
      <c r="C78" s="4" t="n">
        <v>362</v>
      </c>
      <c r="D78" s="4">
        <f>INDEX(Detalle!$H$2:$H$78,MATCH(C78,Detalle!$A$2:$A$78,0))</f>
        <v/>
      </c>
    </row>
    <row r="79">
      <c r="A79" s="4" t="n">
        <v>43</v>
      </c>
      <c r="B79" s="4" t="inlineStr">
        <is>
          <t>HU1-Recibir notificaciones cuando el estado de mi envío cambie</t>
        </is>
      </c>
      <c r="C79" s="4" t="n">
        <v>363</v>
      </c>
      <c r="D79" s="4">
        <f>INDEX(Detalle!$H$2:$H$78,MATCH(C79,Detalle!$A$2:$A$78,0))</f>
        <v/>
      </c>
    </row>
    <row r="80">
      <c r="A80" s="4" t="n">
        <v>126</v>
      </c>
      <c r="B80" s="4" t="inlineStr">
        <is>
          <t>HU3: Visualización envios</t>
        </is>
      </c>
      <c r="C80" s="4" t="n">
        <v>363</v>
      </c>
      <c r="D80" s="4">
        <f>INDEX(Detalle!$H$2:$H$78,MATCH(C80,Detalle!$A$2:$A$78,0))</f>
        <v/>
      </c>
    </row>
    <row r="81">
      <c r="A81" s="4" t="n">
        <v>40</v>
      </c>
      <c r="B81" s="4" t="inlineStr">
        <is>
          <t>HU2-Integrar múltiples fuentes de datos</t>
        </is>
      </c>
      <c r="C81" s="4" t="n">
        <v>364</v>
      </c>
      <c r="D81" s="4">
        <f>INDEX(Detalle!$H$2:$H$78,MATCH(C81,Detalle!$A$2:$A$78,0))</f>
        <v/>
      </c>
    </row>
    <row r="82">
      <c r="A82" s="4" t="n">
        <v>126</v>
      </c>
      <c r="B82" s="4" t="inlineStr">
        <is>
          <t>HU3: Visualización envios</t>
        </is>
      </c>
      <c r="C82" s="4" t="n">
        <v>365</v>
      </c>
      <c r="D82" s="4">
        <f>INDEX(Detalle!$H$2:$H$78,MATCH(C82,Detalle!$A$2:$A$78,0))</f>
        <v/>
      </c>
    </row>
    <row r="83">
      <c r="A83" s="4" t="n">
        <v>129</v>
      </c>
      <c r="B83" s="4" t="inlineStr">
        <is>
          <t>HU6: Validación permisos API</t>
        </is>
      </c>
      <c r="C83" s="4" t="n">
        <v>365</v>
      </c>
      <c r="D83" s="4">
        <f>INDEX(Detalle!$H$2:$H$78,MATCH(C83,Detalle!$A$2:$A$78,0))</f>
        <v/>
      </c>
    </row>
    <row r="84">
      <c r="A84" s="4" t="n">
        <v>126</v>
      </c>
      <c r="B84" s="4" t="inlineStr">
        <is>
          <t>HU3: Visualización envios</t>
        </is>
      </c>
      <c r="C84" s="4" t="n">
        <v>366</v>
      </c>
      <c r="D84" s="4">
        <f>INDEX(Detalle!$H$2:$H$78,MATCH(C84,Detalle!$A$2:$A$78,0))</f>
        <v/>
      </c>
    </row>
    <row r="85">
      <c r="A85" s="4" t="n">
        <v>129</v>
      </c>
      <c r="B85" s="4" t="inlineStr">
        <is>
          <t>HU6: Validación permisos API</t>
        </is>
      </c>
      <c r="C85" s="4" t="n">
        <v>366</v>
      </c>
      <c r="D85" s="4">
        <f>INDEX(Detalle!$H$2:$H$78,MATCH(C85,Detalle!$A$2:$A$78,0))</f>
        <v/>
      </c>
    </row>
    <row r="86">
      <c r="A86" s="4" t="n">
        <v>126</v>
      </c>
      <c r="B86" s="4" t="inlineStr">
        <is>
          <t>HU3: Visualización envios</t>
        </is>
      </c>
      <c r="C86" s="4" t="n">
        <v>367</v>
      </c>
      <c r="D86" s="4">
        <f>INDEX(Detalle!$H$2:$H$78,MATCH(C86,Detalle!$A$2:$A$78,0))</f>
        <v/>
      </c>
    </row>
    <row r="87">
      <c r="A87" s="4" t="n">
        <v>129</v>
      </c>
      <c r="B87" s="4" t="inlineStr">
        <is>
          <t>HU6: Validación permisos API</t>
        </is>
      </c>
      <c r="C87" s="4" t="n">
        <v>367</v>
      </c>
      <c r="D87" s="4">
        <f>INDEX(Detalle!$H$2:$H$78,MATCH(C87,Detalle!$A$2:$A$78,0))</f>
        <v/>
      </c>
    </row>
    <row r="88">
      <c r="A88" s="4" t="n">
        <v>129</v>
      </c>
      <c r="B88" s="4" t="inlineStr">
        <is>
          <t>HU6: Validación permisos API</t>
        </is>
      </c>
      <c r="C88" s="4" t="n">
        <v>368</v>
      </c>
      <c r="D88" s="4">
        <f>INDEX(Detalle!$H$2:$H$78,MATCH(C88,Detalle!$A$2:$A$78,0))</f>
        <v/>
      </c>
    </row>
    <row r="89">
      <c r="A89" s="4" t="n">
        <v>37</v>
      </c>
      <c r="B89" s="4" t="inlineStr">
        <is>
          <t>HU10-Consolidar la información de los envíos en una única fuente centralizada</t>
        </is>
      </c>
      <c r="C89" s="4" t="n">
        <v>369</v>
      </c>
      <c r="D89" s="4">
        <f>INDEX(Detalle!$H$2:$H$78,MATCH(C89,Detalle!$A$2:$A$78,0))</f>
        <v/>
      </c>
    </row>
    <row r="90">
      <c r="A90" s="4" t="n">
        <v>44</v>
      </c>
      <c r="B90" s="4" t="inlineStr">
        <is>
          <t>HU2-Enviar notificaciones automáticas basadas en eventos del sistema</t>
        </is>
      </c>
      <c r="C90" s="4" t="n">
        <v>370</v>
      </c>
      <c r="D90" s="4">
        <f>INDEX(Detalle!$H$2:$H$78,MATCH(C90,Detalle!$A$2:$A$78,0))</f>
        <v/>
      </c>
    </row>
    <row r="91">
      <c r="A91" s="4" t="n">
        <v>39</v>
      </c>
      <c r="B91" s="4" t="inlineStr">
        <is>
          <t>HU1-Actualizar automáticamente los estados de los envíos</t>
        </is>
      </c>
      <c r="C91" s="4" t="n">
        <v>371</v>
      </c>
      <c r="D91" s="4">
        <f>INDEX(Detalle!$H$2:$H$78,MATCH(C91,Detalle!$A$2:$A$78,0))</f>
        <v/>
      </c>
    </row>
    <row r="92">
      <c r="A92" s="4" t="n">
        <v>44</v>
      </c>
      <c r="B92" s="4" t="inlineStr">
        <is>
          <t>HU2-Enviar notificaciones automáticas basadas en eventos del sistema</t>
        </is>
      </c>
      <c r="C92" s="4" t="n">
        <v>371</v>
      </c>
      <c r="D92" s="4">
        <f>INDEX(Detalle!$H$2:$H$78,MATCH(C92,Detalle!$A$2:$A$78,0))</f>
        <v/>
      </c>
    </row>
    <row r="93">
      <c r="A93" s="4" t="n">
        <v>43</v>
      </c>
      <c r="B93" s="4" t="inlineStr">
        <is>
          <t>HU1-Recibir notificaciones cuando el estado de mi envío cambie</t>
        </is>
      </c>
      <c r="C93" s="4" t="n">
        <v>372</v>
      </c>
      <c r="D93" s="4">
        <f>INDEX(Detalle!$H$2:$H$78,MATCH(C93,Detalle!$A$2:$A$78,0))</f>
        <v/>
      </c>
    </row>
    <row r="94">
      <c r="A94" s="4" t="n">
        <v>129</v>
      </c>
      <c r="B94" s="4" t="inlineStr">
        <is>
          <t>HU6: Validación permisos API</t>
        </is>
      </c>
      <c r="C94" s="4" t="n">
        <v>373</v>
      </c>
      <c r="D94" s="4">
        <f>INDEX(Detalle!$H$2:$H$78,MATCH(C94,Detalle!$A$2:$A$78,0))</f>
        <v/>
      </c>
    </row>
    <row r="95">
      <c r="A95" s="4" t="n">
        <v>120</v>
      </c>
      <c r="B95" s="4" t="inlineStr">
        <is>
          <t>HU1: Dashboard indicadores</t>
        </is>
      </c>
      <c r="C95" s="4" t="n">
        <v>374</v>
      </c>
      <c r="D95" s="4">
        <f>INDEX(Detalle!$H$2:$H$78,MATCH(C95,Detalle!$A$2:$A$78,0))</f>
        <v/>
      </c>
    </row>
    <row r="96">
      <c r="A96" s="4" t="n">
        <v>126</v>
      </c>
      <c r="B96" s="4" t="inlineStr">
        <is>
          <t>HU3: Visualización envios</t>
        </is>
      </c>
      <c r="C96" s="4" t="n">
        <v>374</v>
      </c>
      <c r="D96" s="4">
        <f>INDEX(Detalle!$H$2:$H$78,MATCH(C96,Detalle!$A$2:$A$78,0))</f>
        <v/>
      </c>
    </row>
    <row r="97">
      <c r="A97" s="4" t="n">
        <v>40</v>
      </c>
      <c r="B97" s="4" t="inlineStr">
        <is>
          <t>HU2-Integrar múltiples fuentes de datos</t>
        </is>
      </c>
      <c r="C97" s="4" t="n">
        <v>375</v>
      </c>
      <c r="D97" s="4">
        <f>INDEX(Detalle!$H$2:$H$78,MATCH(C97,Detalle!$A$2:$A$78,0))</f>
        <v/>
      </c>
    </row>
    <row r="98">
      <c r="A98" s="4" t="n">
        <v>40</v>
      </c>
      <c r="B98" s="4" t="inlineStr">
        <is>
          <t>HU2-Integrar múltiples fuentes de datos</t>
        </is>
      </c>
      <c r="C98" s="4" t="n">
        <v>376</v>
      </c>
      <c r="D98" s="4">
        <f>INDEX(Detalle!$H$2:$H$78,MATCH(C98,Detalle!$A$2:$A$78,0))</f>
        <v/>
      </c>
    </row>
    <row r="99">
      <c r="A99" s="4" t="n">
        <v>37</v>
      </c>
      <c r="B99" s="4" t="inlineStr">
        <is>
          <t>HU10-Consolidar la información de los envíos en una única fuente centralizada</t>
        </is>
      </c>
      <c r="C99" s="4" t="n">
        <v>377</v>
      </c>
      <c r="D99" s="4">
        <f>INDEX(Detalle!$H$2:$H$78,MATCH(C99,Detalle!$A$2:$A$78,0))</f>
        <v/>
      </c>
    </row>
    <row r="100">
      <c r="A100" s="4" t="n">
        <v>41</v>
      </c>
      <c r="B100" s="4" t="inlineStr">
        <is>
          <t>HU1-Registrar cada cambio en los envíos</t>
        </is>
      </c>
      <c r="C100" s="4" t="n">
        <v>377</v>
      </c>
      <c r="D100" s="4">
        <f>INDEX(Detalle!$H$2:$H$78,MATCH(C100,Detalle!$A$2:$A$78,0))</f>
        <v/>
      </c>
    </row>
    <row r="101">
      <c r="A101" s="4" t="n">
        <v>129</v>
      </c>
      <c r="B101" s="4" t="inlineStr">
        <is>
          <t>HU6: Validación permisos API</t>
        </is>
      </c>
      <c r="C101" s="4" t="n">
        <v>378</v>
      </c>
      <c r="D101" s="4">
        <f>INDEX(Detalle!$H$2:$H$78,MATCH(C101,Detalle!$A$2:$A$78,0))</f>
        <v/>
      </c>
    </row>
    <row r="102">
      <c r="A102" s="4" t="n">
        <v>43</v>
      </c>
      <c r="B102" s="4" t="inlineStr">
        <is>
          <t>HU1-Recibir notificaciones cuando el estado de mi envío cambie</t>
        </is>
      </c>
      <c r="C102" s="4" t="n">
        <v>379</v>
      </c>
      <c r="D102" s="4">
        <f>INDEX(Detalle!$H$2:$H$78,MATCH(C102,Detalle!$A$2:$A$78,0))</f>
        <v/>
      </c>
    </row>
    <row r="103">
      <c r="A103" s="4" t="n">
        <v>129</v>
      </c>
      <c r="B103" s="4" t="inlineStr">
        <is>
          <t>HU6: Validación permisos API</t>
        </is>
      </c>
      <c r="C103" s="4" t="n">
        <v>379</v>
      </c>
      <c r="D103" s="4">
        <f>INDEX(Detalle!$H$2:$H$78,MATCH(C103,Detalle!$A$2:$A$78,0))</f>
        <v/>
      </c>
    </row>
    <row r="104">
      <c r="A104" s="4" t="n">
        <v>34</v>
      </c>
      <c r="B104" s="4" t="inlineStr">
        <is>
          <t>HU7-Buscar un envío por número de guía</t>
        </is>
      </c>
      <c r="C104" s="4" t="n">
        <v>380</v>
      </c>
      <c r="D104" s="4">
        <f>INDEX(Detalle!$H$2:$H$78,MATCH(C104,Detalle!$A$2:$A$78,0))</f>
        <v/>
      </c>
    </row>
    <row r="105">
      <c r="A105" s="4" t="n">
        <v>37</v>
      </c>
      <c r="B105" s="4" t="inlineStr">
        <is>
          <t>HU10-Consolidar la información de los envíos en una única fuente centralizada</t>
        </is>
      </c>
      <c r="C105" s="4" t="n">
        <v>380</v>
      </c>
      <c r="D105" s="4">
        <f>INDEX(Detalle!$H$2:$H$78,MATCH(C105,Detalle!$A$2:$A$78,0))</f>
        <v/>
      </c>
    </row>
    <row r="106">
      <c r="A106" s="4" t="n">
        <v>43</v>
      </c>
      <c r="B106" s="4" t="inlineStr">
        <is>
          <t>HU1-Recibir notificaciones cuando el estado de mi envío cambie</t>
        </is>
      </c>
      <c r="C106" s="4" t="n">
        <v>381</v>
      </c>
      <c r="D106" s="4">
        <f>INDEX(Detalle!$H$2:$H$78,MATCH(C106,Detalle!$A$2:$A$78,0))</f>
        <v/>
      </c>
    </row>
    <row r="107">
      <c r="A107" s="4" t="n">
        <v>28</v>
      </c>
      <c r="B107" s="4" t="inlineStr">
        <is>
          <t>HU1-Lista de mis envíos activos</t>
        </is>
      </c>
      <c r="C107" s="4" t="n">
        <v>382</v>
      </c>
      <c r="D107" s="4">
        <f>INDEX(Detalle!$H$2:$H$78,MATCH(C107,Detalle!$A$2:$A$78,0))</f>
        <v/>
      </c>
    </row>
    <row r="108">
      <c r="A108" s="4" t="n">
        <v>38</v>
      </c>
      <c r="B108" s="4" t="inlineStr">
        <is>
          <t>HU11-Consultar información centralizada de mis envíos</t>
        </is>
      </c>
      <c r="C108" s="4" t="n">
        <v>382</v>
      </c>
      <c r="D108" s="4">
        <f>INDEX(Detalle!$H$2:$H$78,MATCH(C108,Detalle!$A$2:$A$78,0))</f>
        <v/>
      </c>
    </row>
    <row r="109">
      <c r="A109" s="4" t="n">
        <v>40</v>
      </c>
      <c r="B109" s="4" t="inlineStr">
        <is>
          <t>HU2-Integrar múltiples fuentes de datos</t>
        </is>
      </c>
      <c r="C109" s="4" t="n">
        <v>383</v>
      </c>
      <c r="D109" s="4">
        <f>INDEX(Detalle!$H$2:$H$78,MATCH(C109,Detalle!$A$2:$A$78,0))</f>
        <v/>
      </c>
    </row>
    <row r="110">
      <c r="A110" s="4" t="n">
        <v>44</v>
      </c>
      <c r="B110" s="4" t="inlineStr">
        <is>
          <t>HU2-Enviar notificaciones automáticas basadas en eventos del sistema</t>
        </is>
      </c>
      <c r="C110" s="4" t="n">
        <v>383</v>
      </c>
      <c r="D110" s="4">
        <f>INDEX(Detalle!$H$2:$H$78,MATCH(C110,Detalle!$A$2:$A$78,0))</f>
        <v/>
      </c>
    </row>
    <row r="111">
      <c r="A111" s="4" t="n">
        <v>129</v>
      </c>
      <c r="B111" s="4" t="inlineStr">
        <is>
          <t>HU6: Validación permisos API</t>
        </is>
      </c>
      <c r="C111" s="4" t="n">
        <v>384</v>
      </c>
      <c r="D111" s="4">
        <f>INDEX(Detalle!$H$2:$H$78,MATCH(C111,Detalle!$A$2:$A$78,0))</f>
        <v/>
      </c>
    </row>
    <row r="112">
      <c r="A112" s="4" t="n">
        <v>43</v>
      </c>
      <c r="B112" s="4" t="inlineStr">
        <is>
          <t>HU1-Recibir notificaciones cuando el estado de mi envío cambie</t>
        </is>
      </c>
      <c r="C112" s="4" t="n">
        <v>385</v>
      </c>
      <c r="D112" s="4">
        <f>INDEX(Detalle!$H$2:$H$78,MATCH(C112,Detalle!$A$2:$A$78,0))</f>
        <v/>
      </c>
    </row>
    <row r="113">
      <c r="A113" s="4" t="n">
        <v>44</v>
      </c>
      <c r="B113" s="4" t="inlineStr">
        <is>
          <t>HU2-Enviar notificaciones automáticas basadas en eventos del sistema</t>
        </is>
      </c>
      <c r="C113" s="4" t="n">
        <v>385</v>
      </c>
      <c r="D113" s="4">
        <f>INDEX(Detalle!$H$2:$H$78,MATCH(C113,Detalle!$A$2:$A$78,0))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9" customWidth="1" min="3" max="3"/>
    <col width="50" customWidth="1" min="4" max="4"/>
    <col width="13" customWidth="1" min="5" max="5"/>
    <col width="11" customWidth="1" min="6" max="6"/>
    <col width="60" customWidth="1" min="7" max="7"/>
    <col width="50" customWidth="1" min="8" max="8"/>
  </cols>
  <sheetData>
    <row r="1">
      <c r="A1" s="3" t="inlineStr">
        <is>
          <t>Fecha</t>
        </is>
      </c>
      <c r="B1" s="3" t="inlineStr">
        <is>
          <t>Suite</t>
        </is>
      </c>
      <c r="C1" s="3" t="inlineStr">
        <is>
          <t>ID Azure</t>
        </is>
      </c>
      <c r="D1" s="3" t="inlineStr">
        <is>
          <t>Caso Katalon</t>
        </is>
      </c>
      <c r="E1" s="3" t="inlineStr">
        <is>
          <t>Resultado</t>
        </is>
      </c>
      <c r="F1" s="3" t="inlineStr">
        <is>
          <t>Duración (s)</t>
        </is>
      </c>
      <c r="G1" s="3" t="inlineStr">
        <is>
          <t>Mensaje</t>
        </is>
      </c>
      <c r="H1" s="3" t="inlineStr">
        <is>
          <t>Reporte</t>
        </is>
      </c>
    </row>
    <row r="2">
      <c r="A2" s="12" t="inlineStr">
        <is>
          <t>2026-10-18 22:06:24</t>
        </is>
      </c>
      <c r="B2" s="12" t="inlineStr">
        <is>
          <t>TS_Reejecucion</t>
        </is>
      </c>
      <c r="C2" s="12" t="n">
        <v>350</v>
      </c>
      <c r="D2" s="12" t="inlineStr">
        <is>
          <t>Test Cases/Lote2/Notificaciones/TC350_NotificacionAbreDetalleCorrecto</t>
        </is>
      </c>
      <c r="E2" s="12" t="inlineStr">
        <is>
          <t>Falló</t>
        </is>
      </c>
      <c r="F2" s="12" t="n">
        <v>43.5</v>
      </c>
      <c r="G2" s="12" t="inlineStr">
        <is>
          <t>Test Cases/Lote2/Notificaciones/TC350_NotificacionAbreDetalleCorrecto FAILED.
Reason:
com.kms.katalon.core.exception.StepFailedException: Unable to click on object 'xpath_4b98f5e'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TC350_NotificacionAbreDetalleCorrecto.run(TC350_NotificacionAbreDetalleCorrecto:21)
 at com.kms.k</t>
        </is>
      </c>
      <c r="H2" s="12" t="inlineStr">
        <is>
          <t>Reports/20261018_170614/TS_Reejecucion/20261018_170614/JUnit_Report.xml</t>
        </is>
      </c>
    </row>
    <row r="3">
      <c r="A3" s="12" t="inlineStr">
        <is>
          <t>2026-10-18 22:06:24</t>
        </is>
      </c>
      <c r="B3" s="12" t="inlineStr">
        <is>
          <t>TS_Reejecucion</t>
        </is>
      </c>
      <c r="C3" s="12" t="n">
        <v>341</v>
      </c>
      <c r="D3" s="12" t="inlineStr">
        <is>
          <t>Test Cases/Lote2/CentralizacionFrontend/TC341_HistorialCambiosEnOrden</t>
        </is>
      </c>
      <c r="E3" s="12" t="inlineStr">
        <is>
          <t>Falló</t>
        </is>
      </c>
      <c r="F3" s="12" t="n">
        <v>42.5</v>
      </c>
      <c r="G3" s="12" t="inlineStr">
        <is>
          <t>Test Cases/Lote2/CentralizacionFrontend/TC341_HistorialCambiosEnOrden FAILED.
Reason:
com.kms.katalon.core.exception.StepFailedException: No se cumple: Existe la pestaña "Historial" en el detalle
 at com.kms.katalon.core.util.KeywordUtil.markFailedAndStop(KeywordUtil.java:31)
 at conexion360.Helpers.verificar(Helpers.groovy:323)
 at conexion360.Helpers.abrirPestana(Helpers.groovy:247)
 at TC341_HistorialCambiosEnOrden.run(TC341_HistorialCambiosEnOrden:26)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t>
        </is>
      </c>
      <c r="H3" s="12" t="inlineStr">
        <is>
          <t>Reports/20261018_170614/TS_Reejecucion/20261018_170614/JUnit_Report.xml</t>
        </is>
      </c>
    </row>
    <row r="4">
      <c r="A4" s="12" t="inlineStr">
        <is>
          <t>2026-10-18 22:06:24</t>
        </is>
      </c>
      <c r="B4" s="12" t="inlineStr">
        <is>
          <t>TS_Reejecucion</t>
        </is>
      </c>
      <c r="C4" s="12" t="n">
        <v>373</v>
      </c>
      <c r="D4" s="12" t="inlineStr">
        <is>
          <t>Test Cases/Lote2/SeguridadAcceso/TC373_ServiciosExigenAutenticacion</t>
        </is>
      </c>
      <c r="E4" s="12" t="inlineStr">
        <is>
          <t>Falló</t>
        </is>
      </c>
      <c r="F4" s="12" t="n">
        <v>7.3</v>
      </c>
      <c r="G4" s="12" t="inlineStr">
        <is>
          <t>Test Cases/Lote2/SeguridadAcceso/TC373_ServiciosExigenAutenticacion FAILED.
Reason:
com.kms.katalon.core.exception.StepFailedException: No se cumple: /myshipments/allshipments?idClient=3127584817&amp;page=1&amp;size=10 sin token responde 503 (esperado 401)
 at com.kms.katalon.core.util.KeywordUtil.markFailedAndStop(KeywordUtil.java:31)
 at conexion360.Helpers.verificar(Helpers.groovy:323)
 at Script1792248059895$_run_closure1.doCall(Script1792248059895.groovy:29)
 at java.base/jdk.internal.reflect.DirectMethodHandleAccessor.invoke(DirectMethodHandleAccessor.java:103)
 at TC373_ServiciosExigenAutenticacion.run(TC373_ServiciosExigenAutenticacion:27)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
        </is>
      </c>
      <c r="H4" s="12" t="inlineStr">
        <is>
          <t>Reports/20261018_170614/TS_Reejecucion/20261018_170614/JUnit_Report.xml</t>
        </is>
      </c>
    </row>
    <row r="5">
      <c r="A5" s="12" t="inlineStr">
        <is>
          <t>2026-10-18 22:06:24</t>
        </is>
      </c>
      <c r="B5" s="12" t="inlineStr">
        <is>
          <t>TS_Reejecucion</t>
        </is>
      </c>
      <c r="C5" s="12" t="n">
        <v>365</v>
      </c>
      <c r="D5" s="12" t="inlineStr">
        <is>
          <t>Test Cases/Lote2/SeguridadAcceso/TC365_ApiCambioIdClientNoMuestraOtroCliente</t>
        </is>
      </c>
      <c r="E5" s="12" t="inlineStr">
        <is>
          <t>Pasó</t>
        </is>
      </c>
      <c r="F5" s="12" t="n">
        <v>16.8</v>
      </c>
      <c r="G5" s="12" t="inlineStr"/>
      <c r="H5" s="12" t="inlineStr">
        <is>
          <t>Reports/20261018_170614/TS_Reejecucion/20261018_170614/JUnit_Report.xml</t>
        </is>
      </c>
    </row>
    <row r="6">
      <c r="A6" s="12" t="inlineStr">
        <is>
          <t>2026-10-18 22:06:24</t>
        </is>
      </c>
      <c r="B6" s="12" t="inlineStr">
        <is>
          <t>TS_Reejecucion</t>
        </is>
      </c>
      <c r="C6" s="12" t="n">
        <v>357</v>
      </c>
      <c r="D6" s="12" t="inlineStr">
        <is>
          <t>Test Cases/Lote2/SeguridadAcceso/TC357_ApiIdQueryClientDeOtroCliente</t>
        </is>
      </c>
      <c r="E6" s="12" t="inlineStr">
        <is>
          <t>Pasó</t>
        </is>
      </c>
      <c r="F6" s="12" t="n">
        <v>12.8</v>
      </c>
      <c r="G6" s="12" t="inlineStr"/>
      <c r="H6" s="12" t="inlineStr">
        <is>
          <t>Reports/20261018_170614/TS_Reejecucion/20261018_170614/JUnit_Report.xml</t>
        </is>
      </c>
    </row>
    <row r="7">
      <c r="A7" s="12" t="inlineStr">
        <is>
          <t>2026-10-18 22:06:24</t>
        </is>
      </c>
      <c r="B7" s="12" t="inlineStr">
        <is>
          <t>TS_Reejecucion</t>
        </is>
      </c>
      <c r="C7" s="12" t="n">
        <v>351</v>
      </c>
      <c r="D7" s="12" t="inlineStr">
        <is>
          <t>Test Cases/Lote2/SeguridadAcceso/TC351_ClienteSinAccesoAdministracion</t>
        </is>
      </c>
      <c r="E7" s="12" t="inlineStr">
        <is>
          <t>Falló</t>
        </is>
      </c>
      <c r="F7" s="12" t="n">
        <v>19.2</v>
      </c>
      <c r="G7" s="12" t="inlineStr">
        <is>
          <t>Test Cases/Lote2/SeguridadAcceso/TC351_ClienteSinAccesoAdministracion FAILED.
Reason:
com.kms.katalon.core.exception.StepFailedException: No se cumple: GET /settings/listusers responde 503 (esperado 403)
 at com.kms.katalon.core.util.KeywordUtil.markFailedAndStop(KeywordUtil.java:31)
 at conexion360.Helpers.verificar(Helpers.groovy:323)
 at TC351_ClienteSinAccesoAdministracion.run(TC351_ClienteSinAccesoAdministracion:26)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H7" s="12" t="inlineStr">
        <is>
          <t>Reports/20261018_170614/TS_Reejecucion/20261018_170614/JUnit_Report.xml</t>
        </is>
      </c>
    </row>
    <row r="8">
      <c r="A8" s="12" t="inlineStr">
        <is>
          <t>2026-10-18 22:06:24</t>
        </is>
      </c>
      <c r="B8" s="12" t="inlineStr">
        <is>
          <t>TS_Reejecucion</t>
        </is>
      </c>
      <c r="C8" s="12" t="n">
        <v>324</v>
      </c>
      <c r="D8" s="12" t="inlineStr">
        <is>
          <t>Test Cases/P1/HU30_DetalleEnvio/TC324_DetalleEnvioPropio</t>
        </is>
      </c>
      <c r="E8" s="12" t="inlineStr">
        <is>
          <t>Falló</t>
        </is>
      </c>
      <c r="F8" s="12" t="n">
        <v>31.8</v>
      </c>
      <c r="G8" s="12" t="inlineStr">
        <is>
          <t>Test Cases/P1/HU30_DetalleEnvio/TC324_DetalleEnvioPropio FAILED.
Reason:
com.kms.katalon.core.exception.StepFailedException: Unable to click on object 'css_2950d483'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TC324_DetalleEnvioPropio.run(TC324_DetalleEnvioPropio:20)
 at com.kms.katalon.core.main.ScriptEngine.run(Script</t>
        </is>
      </c>
      <c r="H8" s="12" t="inlineStr">
        <is>
          <t>Reports/20261018_170614/TS_Reejecucion/20261018_170614/JUnit_Report.xml</t>
        </is>
      </c>
    </row>
    <row r="9">
      <c r="A9" s="12" t="inlineStr">
        <is>
          <t>2026-10-18 22:06:24</t>
        </is>
      </c>
      <c r="B9" s="12" t="inlineStr">
        <is>
          <t>TS_Reejecucion</t>
        </is>
      </c>
      <c r="C9" s="12" t="n">
        <v>318</v>
      </c>
      <c r="D9" s="12" t="inlineStr">
        <is>
          <t>Test Cases/P1/HU126_OwnershipEnvios/TC318_ApiRechazaEnvioAjeno</t>
        </is>
      </c>
      <c r="E9" s="12" t="inlineStr">
        <is>
          <t>Falló</t>
        </is>
      </c>
      <c r="F9" s="12" t="n">
        <v>19.7</v>
      </c>
      <c r="G9" s="12" t="inlineStr">
        <is>
          <t>Test Cases/P1/HU126_OwnershipEnvios/TC318_ApiRechazaEnvioAjeno FAILED.
Reason:
com.kms.katalon.core.exception.StepFailedException: No se cumple: El token y el endpoint funcionan con el envío propio
 at com.kms.katalon.core.util.KeywordUtil.markFailedAndStop(KeywordUtil.java:31)
 at conexion360.Helpers.verificar(Helpers.groovy:323)
 at TC318_ApiRechazaEnvioAjeno.run(TC318_ApiRechazaEnvioAjeno:24)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t>
        </is>
      </c>
      <c r="H9" s="12" t="inlineStr">
        <is>
          <t>Reports/20261018_170614/TS_Reejecucion/20261018_170614/JUnit_Report.xml</t>
        </is>
      </c>
    </row>
    <row r="10">
      <c r="A10" s="12" t="inlineStr">
        <is>
          <t>2026-10-18 21:53:25</t>
        </is>
      </c>
      <c r="B10" s="12" t="inlineStr">
        <is>
          <t>TS_Lote2_Automaticos</t>
        </is>
      </c>
      <c r="C10" s="12" t="n">
        <v>374</v>
      </c>
      <c r="D10" s="12" t="inlineStr">
        <is>
          <t>Test Cases/Lote2/SeguridadAcceso/TC374_ClienteNoVeRankingEnReportes</t>
        </is>
      </c>
      <c r="E10" s="12" t="inlineStr">
        <is>
          <t>Falló</t>
        </is>
      </c>
      <c r="F10" s="12" t="n">
        <v>70</v>
      </c>
      <c r="G10" s="12" t="inlineStr">
        <is>
          <t>Test Cases/Lote2/SeguridadAcceso/TC374_ClienteNoVeRankingEnReportes FAILED.
Reason:
com.kms.katalon.core.exception.StepFailedException: No apareció el texto: Reportes
 at com.kms.katalon.core.util.KeywordUtil.markFailedAndStop(KeywordUtil.java:31)
 at conexion360.Helpers.esperarTexto(Helpers.groovy:108)
 at conexion360.Helpers.esperarTexto(Helpers.groovy)
 at TC374_ClienteNoVeRankingEnReportes.run(TC374_ClienteNoVeRankingEnReportes:27)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t>
        </is>
      </c>
      <c r="H10" s="12" t="inlineStr">
        <is>
          <t>Reports/20261018_165316/TS_Lote2_Automaticos/20261018_165316/JUnit_Report.xml</t>
        </is>
      </c>
    </row>
    <row r="11">
      <c r="A11" s="12" t="inlineStr">
        <is>
          <t>2026-10-18 21:53:25</t>
        </is>
      </c>
      <c r="B11" s="12" t="inlineStr">
        <is>
          <t>TS_Lote2_Automaticos</t>
        </is>
      </c>
      <c r="C11" s="12" t="n">
        <v>373</v>
      </c>
      <c r="D11" s="12" t="inlineStr">
        <is>
          <t>Test Cases/Lote2/SeguridadAcceso/TC373_ServiciosExigenAutenticacion</t>
        </is>
      </c>
      <c r="E11" s="12" t="inlineStr">
        <is>
          <t>Error</t>
        </is>
      </c>
      <c r="F11" s="12" t="n">
        <v>6</v>
      </c>
      <c r="G11" s="12" t="inlineStr">
        <is>
          <t>Test Cases/Lote2/SeguridadAcceso/TC373_ServiciosExigenAutenticacion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conexio</t>
        </is>
      </c>
      <c r="H11" s="12" t="inlineStr">
        <is>
          <t>Reports/20261018_165316/TS_Lote2_Automaticos/20261018_165316/JUnit_Report.xml</t>
        </is>
      </c>
    </row>
    <row r="12">
      <c r="A12" s="12" t="inlineStr">
        <is>
          <t>2026-10-18 21:53:25</t>
        </is>
      </c>
      <c r="B12" s="12" t="inlineStr">
        <is>
          <t>TS_Lote2_Automaticos</t>
        </is>
      </c>
      <c r="C12" s="12" t="n">
        <v>365</v>
      </c>
      <c r="D12" s="12" t="inlineStr">
        <is>
          <t>Test Cases/Lote2/SeguridadAcceso/TC365_ApiCambioIdClientNoMuestraOtroCliente</t>
        </is>
      </c>
      <c r="E12" s="12" t="inlineStr">
        <is>
          <t>Error</t>
        </is>
      </c>
      <c r="F12" s="12" t="n">
        <v>12.4</v>
      </c>
      <c r="G12" s="12" t="inlineStr">
        <is>
          <t>Test Cases/Lote2/SeguridadAcceso/TC365_ApiCambioIdClientNoMuestraOtroCliente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is>
      </c>
      <c r="H12" s="12" t="inlineStr">
        <is>
          <t>Reports/20261018_165316/TS_Lote2_Automaticos/20261018_165316/JUnit_Report.xml</t>
        </is>
      </c>
    </row>
    <row r="13">
      <c r="A13" s="12" t="inlineStr">
        <is>
          <t>2026-10-18 21:53:25</t>
        </is>
      </c>
      <c r="B13" s="12" t="inlineStr">
        <is>
          <t>TS_Lote2_Automaticos</t>
        </is>
      </c>
      <c r="C13" s="12" t="n">
        <v>359</v>
      </c>
      <c r="D13" s="12" t="inlineStr">
        <is>
          <t>Test Cases/Lote2/SeguridadAcceso/TC359_AnalistaSoloClientesAsignados</t>
        </is>
      </c>
      <c r="E13" s="12" t="inlineStr">
        <is>
          <t>Falló</t>
        </is>
      </c>
      <c r="F13" s="12" t="n">
        <v>125.6</v>
      </c>
      <c r="G13" s="12" t="inlineStr">
        <is>
          <t>Test Cases/Lote2/SeguridadAcceso/TC359_AnalistaSoloClientesAsignados FAILED.
Reason:
com.kms.katalon.core.exception.StepFailedException: Unable to set text 'HBLQA0001' of object 'css_71d04265'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com.kms.katalon.core.webui.keyword.builtin.SetTextKeyword.setText(SetTextKeyword.groovy:106)
 at com.kms.katalon.core.webui.keyword.builtin.SetTextKeyword.execute(SetTextKeyword.groovy:49)
 at com.kms.katalon.core.keyword.internal.KeywordExecutor.executeKeywordForPlatform(KeywordExecutor.groovy:106)
 at com.kms.katalon.core.webui.keyword.WebUiBuiltInKeywords.setText(WebUiBuiltInKeywords.groovy:1082)
 at conexion360.Helpers.buscar(Helpers.groovy:165)
 at TC359_AnalistaSoloC</t>
        </is>
      </c>
      <c r="H13" s="12" t="inlineStr">
        <is>
          <t>Reports/20261018_165316/TS_Lote2_Automaticos/20261018_165316/JUnit_Report.xml</t>
        </is>
      </c>
    </row>
    <row r="14">
      <c r="A14" s="12" t="inlineStr">
        <is>
          <t>2026-10-18 21:53:25</t>
        </is>
      </c>
      <c r="B14" s="12" t="inlineStr">
        <is>
          <t>TS_Lote2_Automaticos</t>
        </is>
      </c>
      <c r="C14" s="12" t="n">
        <v>358</v>
      </c>
      <c r="D14" s="12" t="inlineStr">
        <is>
          <t>Test Cases/Lote2/SeguridadAcceso/TC358_UsuarioSinRolNoObtieneDatos</t>
        </is>
      </c>
      <c r="E14" s="12" t="inlineStr">
        <is>
          <t>Falló</t>
        </is>
      </c>
      <c r="F14" s="12" t="n">
        <v>73.09999999999999</v>
      </c>
      <c r="G14" s="12" t="inlineStr">
        <is>
          <t>Test Cases/Lote2/SeguridadAcceso/TC358_UsuarioSinRolNoObtieneDatos FAILED.
Reason:
com.kms.katalon.core.exception.StepFailedException: No apareció el texto: Tu usuario no tiene un rol asignado
 at com.kms.katalon.core.util.KeywordUtil.markFailedAndStop(KeywordUtil.java:31)
 at conexion360.Helpers.esperarTexto(Helpers.groovy:108)
 at Script1792247897482$_run_closure1.doCall(Script1792247897482.groovy:19)
 at java.base/jdk.internal.reflect.DirectMethodHandleAccessor.invoke(DirectMethodHandleAccessor.java:103)
 at TC358_UsuarioSinRolNoObtieneDatos.run(TC358_UsuarioSinRolNoObtieneDatos:17)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t>
        </is>
      </c>
      <c r="H14" s="12" t="inlineStr">
        <is>
          <t>Reports/20261018_165316/TS_Lote2_Automaticos/20261018_165316/JUnit_Report.xml</t>
        </is>
      </c>
    </row>
    <row r="15">
      <c r="A15" s="12" t="inlineStr">
        <is>
          <t>2026-10-18 21:53:25</t>
        </is>
      </c>
      <c r="B15" s="12" t="inlineStr">
        <is>
          <t>TS_Lote2_Automaticos</t>
        </is>
      </c>
      <c r="C15" s="12" t="n">
        <v>357</v>
      </c>
      <c r="D15" s="12" t="inlineStr">
        <is>
          <t>Test Cases/Lote2/SeguridadAcceso/TC357_ApiIdQueryClientDeOtroCliente</t>
        </is>
      </c>
      <c r="E15" s="12" t="inlineStr">
        <is>
          <t>Error</t>
        </is>
      </c>
      <c r="F15" s="12" t="n">
        <v>13.2</v>
      </c>
      <c r="G15" s="12" t="inlineStr">
        <is>
          <t>Test Cases/Lote2/SeguridadAcceso/TC357_ApiIdQueryClientDeOtroCliente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t>
        </is>
      </c>
      <c r="H15" s="12" t="inlineStr">
        <is>
          <t>Reports/20261018_165316/TS_Lote2_Automaticos/20261018_165316/JUnit_Report.xml</t>
        </is>
      </c>
    </row>
    <row r="16">
      <c r="A16" s="12" t="inlineStr">
        <is>
          <t>2026-10-18 21:53:25</t>
        </is>
      </c>
      <c r="B16" s="12" t="inlineStr">
        <is>
          <t>TS_Lote2_Automaticos</t>
        </is>
      </c>
      <c r="C16" s="12" t="n">
        <v>356</v>
      </c>
      <c r="D16" s="12" t="inlineStr">
        <is>
          <t>Test Cases/Lote2/SeguridadAcceso/TC356_ClienteSoloSusEnviosEnTodasLasPantallas</t>
        </is>
      </c>
      <c r="E16" s="12" t="inlineStr">
        <is>
          <t>Falló</t>
        </is>
      </c>
      <c r="F16" s="12" t="n">
        <v>62.5</v>
      </c>
      <c r="G16" s="12" t="inlineStr">
        <is>
          <t>Test Cases/Lote2/SeguridadAcceso/TC356_ClienteSoloSusEnviosEnTodasLasPantallas FAILED.
Reason:
com.kms.katalon.core.exception.StepFailedException: No apareció el texto: Ningún envío coincide con la búsqueda o los filtros seleccionados.
 at com.kms.katalon.core.util.KeywordUtil.markFailedAndStop(KeywordUtil.java:31)
 at conexion360.Helpers.esperarTexto(Helpers.groovy:108)
 at conexion360.Helpers.esperarTexto(Helpers.groovy)
 at TC356_ClienteSoloSusEnviosEnTodasLasPantallas.run(TC356_ClienteSoloSusEnviosEnTodasLasPantallas:23)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t>
        </is>
      </c>
      <c r="H16" s="12" t="inlineStr">
        <is>
          <t>Reports/20261018_165316/TS_Lote2_Automaticos/20261018_165316/JUnit_Report.xml</t>
        </is>
      </c>
    </row>
    <row r="17">
      <c r="A17" s="12" t="inlineStr">
        <is>
          <t>2026-10-18 21:53:25</t>
        </is>
      </c>
      <c r="B17" s="12" t="inlineStr">
        <is>
          <t>TS_Lote2_Automaticos</t>
        </is>
      </c>
      <c r="C17" s="12" t="n">
        <v>353</v>
      </c>
      <c r="D17" s="12" t="inlineStr">
        <is>
          <t>Test Cases/Lote2/SeguridadAcceso/TC353_AdminConsultaCualquierCliente</t>
        </is>
      </c>
      <c r="E17" s="12" t="inlineStr">
        <is>
          <t>Falló</t>
        </is>
      </c>
      <c r="F17" s="12" t="n">
        <v>102.6</v>
      </c>
      <c r="G17" s="12" t="inlineStr">
        <is>
          <t>Test Cases/Lote2/SeguridadAcceso/TC353_AdminConsultaCualquierCliente FAILED.
Reason:
com.kms.katalon.core.exception.StepFailedException: No se cumple: La vista interna muestra la columna "Cliente"
 at com.kms.katalon.core.util.KeywordUtil.markFailedAndStop(KeywordUtil.java:31)
 at conexion360.Helpers.verificar(Helpers.groovy:314)
 at TC353_AdminConsultaCualquierCliente.run(TC353_AdminConsultaCualquierCliente:20)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t>
        </is>
      </c>
      <c r="H17" s="12" t="inlineStr">
        <is>
          <t>Reports/20261018_165316/TS_Lote2_Automaticos/20261018_165316/JUnit_Report.xml</t>
        </is>
      </c>
    </row>
    <row r="18">
      <c r="A18" s="12" t="inlineStr">
        <is>
          <t>2026-10-18 21:53:25</t>
        </is>
      </c>
      <c r="B18" s="12" t="inlineStr">
        <is>
          <t>TS_Lote2_Automaticos</t>
        </is>
      </c>
      <c r="C18" s="12" t="n">
        <v>351</v>
      </c>
      <c r="D18" s="12" t="inlineStr">
        <is>
          <t>Test Cases/Lote2/SeguridadAcceso/TC351_ClienteSinAccesoAdministracion</t>
        </is>
      </c>
      <c r="E18" s="12" t="inlineStr">
        <is>
          <t>Error</t>
        </is>
      </c>
      <c r="F18" s="12" t="n">
        <v>19.5</v>
      </c>
      <c r="G18" s="12" t="inlineStr">
        <is>
          <t>Test Cases/Lote2/SeguridadAcceso/TC351_ClienteSinAccesoAdministracion FAILED.
Reason:
groovy.lang.MissingMethodException: No signature of method: static com.kms.katalon.core.webui.keyword.WebUiBuiltInKeywords.executeAsyncJavaScript() is applicable for argument types: (String, ArrayList, com.kms.katalon.core.model.FailureHandling)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t>
        </is>
      </c>
      <c r="H18" s="12" t="inlineStr">
        <is>
          <t>Reports/20261018_165316/TS_Lote2_Automaticos/20261018_165316/JUnit_Report.xml</t>
        </is>
      </c>
    </row>
    <row r="19">
      <c r="A19" s="12" t="inlineStr">
        <is>
          <t>2026-10-18 21:53:25</t>
        </is>
      </c>
      <c r="B19" s="12" t="inlineStr">
        <is>
          <t>TS_Lote2_Automaticos</t>
        </is>
      </c>
      <c r="C19" s="12" t="n">
        <v>349</v>
      </c>
      <c r="D19" s="12" t="inlineStr">
        <is>
          <t>Test Cases/Lote2/CentralizacionFrontend/TC349_TotalesDashboardCoincidenConEnvios</t>
        </is>
      </c>
      <c r="E19" s="12" t="inlineStr">
        <is>
          <t>Falló</t>
        </is>
      </c>
      <c r="F19" s="12" t="n">
        <v>45.1</v>
      </c>
      <c r="G19" s="12" t="inlineStr">
        <is>
          <t>Test Cases/Lote2/CentralizacionFrontend/TC349_TotalesDashboardCoincidenConEnvios FAILED.
Reason:
com.kms.katalon.core.exception.StepFailedException: No se cumple: Total de envíos: en pantalla null, esperado 15
 at com.kms.katalon.core.util.KeywordUtil.markFailedAndStop(KeywordUtil.java:31)
 at conexion360.Helpers.verificar(Helpers.groovy:314)
 at Script1792247586207$_run_closure1.doCall(Script1792247586207.groovy:28)
 at java.base/jdk.internal.reflect.DirectMethodHandleAccessor.invoke(DirectMethodHandleAccessor.java:103)
 at TC349_TotalesDashboardCoincidenConEnvios.run(TC349_TotalesDashboardCoincidenConEnvios:27)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t>
        </is>
      </c>
      <c r="H19" s="12" t="inlineStr">
        <is>
          <t>Reports/20261018_165316/TS_Lote2_Automaticos/20261018_165316/JUnit_Report.xml</t>
        </is>
      </c>
    </row>
    <row r="20">
      <c r="A20" s="12" t="inlineStr">
        <is>
          <t>2026-10-18 21:53:25</t>
        </is>
      </c>
      <c r="B20" s="12" t="inlineStr">
        <is>
          <t>TS_Lote2_Automaticos</t>
        </is>
      </c>
      <c r="C20" s="12" t="n">
        <v>344</v>
      </c>
      <c r="D20" s="12" t="inlineStr">
        <is>
          <t>Test Cases/Lote2/CentralizacionFrontend/TC344_EstadosLogisticosConSuValorReal</t>
        </is>
      </c>
      <c r="E20" s="12" t="inlineStr">
        <is>
          <t>Falló</t>
        </is>
      </c>
      <c r="F20" s="12" t="n">
        <v>16.4</v>
      </c>
      <c r="G20" s="12" t="inlineStr">
        <is>
          <t>Test Cases/Lote2/CentralizacionFrontend/TC344_EstadosLogisticosConSuValorReal FAILED.
Reason:
com.kms.katalon.core.exception.StepFailedException: No se cumple: HBLQA0003 aparece en Mis envíos
 at com.kms.katalon.core.util.KeywordUtil.markFailedAndStop(KeywordUtil.java:31)
 at conexion360.Helpers.verificar(Helpers.groovy:314)
 at Script1792247532472$_run_closure1.doCall(Script1792247532472.groovy:33)
 at java.base/jdk.internal.reflect.DirectMethodHandleAccessor.invoke(DirectMethodHandleAccessor.java:103)
 at TC344_EstadosLogisticosConSuValorReal.run(TC344_EstadosLogisticosConSuValorReal:29)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t>
        </is>
      </c>
      <c r="H20" s="12" t="inlineStr">
        <is>
          <t>Reports/20261018_165316/TS_Lote2_Automaticos/20261018_165316/JUnit_Report.xml</t>
        </is>
      </c>
    </row>
    <row r="21">
      <c r="A21" s="12" t="inlineStr">
        <is>
          <t>2026-10-18 21:53:25</t>
        </is>
      </c>
      <c r="B21" s="12" t="inlineStr">
        <is>
          <t>TS_Lote2_Automaticos</t>
        </is>
      </c>
      <c r="C21" s="12" t="n">
        <v>340</v>
      </c>
      <c r="D21" s="12" t="inlineStr">
        <is>
          <t>Test Cases/Lote2/CentralizacionFrontend/TC340_MismaInformacionEnTodasLasPantallas</t>
        </is>
      </c>
      <c r="E21" s="12" t="inlineStr">
        <is>
          <t>Falló</t>
        </is>
      </c>
      <c r="F21" s="12" t="n">
        <v>23.6</v>
      </c>
      <c r="G21" s="12" t="inlineStr">
        <is>
          <t>Test Cases/Lote2/CentralizacionFrontend/TC340_MismaInformacionEnTodasLasPantallas FAILED.
Reason:
com.kms.katalon.core.exception.StepFailedException: No se cumple: La guía aparece en Mis envíos
 at com.kms.katalon.core.util.KeywordUtil.markFailedAndStop(KeywordUtil.java:31)
 at conexion360.Helpers.verificar(Helpers.groovy:314)
 at TC340_MismaInformacionEnTodasLasPantallas.run(TC340_MismaInformacionEnTodasLasPantallas:19)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t>
        </is>
      </c>
      <c r="H21" s="12" t="inlineStr">
        <is>
          <t>Reports/20261018_165316/TS_Lote2_Automaticos/20261018_165316/JUnit_Report.xml</t>
        </is>
      </c>
    </row>
    <row r="22">
      <c r="A22" s="12" t="inlineStr">
        <is>
          <t>2026-10-18 21:36:55</t>
        </is>
      </c>
      <c r="B22" s="12" t="inlineStr">
        <is>
          <t>TS_P1_RutaCritica</t>
        </is>
      </c>
      <c r="C22" s="12" t="n">
        <v>328</v>
      </c>
      <c r="D22" s="12" t="inlineStr">
        <is>
          <t>Test Cases/P1/HU209_ProteccionAtaques/TC328_RechazoEntradasMaliciosas</t>
        </is>
      </c>
      <c r="E22" s="12" t="inlineStr">
        <is>
          <t>Pasó</t>
        </is>
      </c>
      <c r="F22" s="12" t="n">
        <v>35.5</v>
      </c>
      <c r="G22" s="12" t="inlineStr"/>
      <c r="H22" s="12" t="inlineStr">
        <is>
          <t>Reports/20261018_163618/TS_P1_RutaCritica/20261018_163618/JUnit_Report.xml</t>
        </is>
      </c>
    </row>
    <row r="23">
      <c r="A23" s="12" t="inlineStr">
        <is>
          <t>2026-10-18 21:36:55</t>
        </is>
      </c>
      <c r="B23" s="12" t="inlineStr">
        <is>
          <t>TS_P1_RutaCritica</t>
        </is>
      </c>
      <c r="C23" s="12" t="n">
        <v>325</v>
      </c>
      <c r="D23" s="12" t="inlineStr">
        <is>
          <t>Test Cases/P1/HU30_DetalleEnvio/TC325_DetalleEnvioInexistente</t>
        </is>
      </c>
      <c r="E23" s="12" t="inlineStr">
        <is>
          <t>Falló</t>
        </is>
      </c>
      <c r="F23" s="12" t="n">
        <v>42.5</v>
      </c>
      <c r="G23" s="12" t="inlineStr">
        <is>
          <t>Test Cases/P1/HU30_DetalleEnvio/TC325_DetalleEnvioInexistente FAILED.
Reason:
com.kms.katalon.core.exception.StepFailedException: No apareció el texto: Envío no encontrado
 at com.kms.katalon.core.util.KeywordUtil.markFailedAndStop(KeywordUtil.java:31)
 at conexion360.Helpers.esperarTexto(Helpers.groovy:107)
 at TC325_DetalleEnvioInexistente.run(TC325_DetalleEnvioInexistente:21)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t>
        </is>
      </c>
      <c r="H23" s="12" t="inlineStr">
        <is>
          <t>Reports/20261018_163618/TS_P1_RutaCritica/20261018_163618/JUnit_Report.xml</t>
        </is>
      </c>
    </row>
    <row r="24">
      <c r="A24" s="12" t="inlineStr">
        <is>
          <t>2026-10-18 21:36:55</t>
        </is>
      </c>
      <c r="B24" s="12" t="inlineStr">
        <is>
          <t>TS_P1_RutaCritica</t>
        </is>
      </c>
      <c r="C24" s="12" t="n">
        <v>324</v>
      </c>
      <c r="D24" s="12" t="inlineStr">
        <is>
          <t>Test Cases/P1/HU30_DetalleEnvio/TC324_DetalleEnvioPropio</t>
        </is>
      </c>
      <c r="E24" s="12" t="inlineStr">
        <is>
          <t>Falló</t>
        </is>
      </c>
      <c r="F24" s="12" t="n">
        <v>25.8</v>
      </c>
      <c r="G24" s="12" t="inlineStr">
        <is>
          <t>Test Cases/P1/HU30_DetalleEnvio/TC324_DetalleEnvioPropio FAILED.
Reason:
com.kms.katalon.core.exception.StepFailedException: Unable to click on object 'a[aria-label="Ver detalle del envío HBLQA0001"]'
 at com.kms.katalon.core.webui.keyword.internal.WebUIKeywordMain.stepFailed(WebUIKeywordMain.groovy:177)
 at com.kms.katalon.core.webui.keyword.internal.WebUIKeywordMain.runKeyword(WebUIKeywordMain.groovy:49)
 at com.kms.katalon.core.webui.keyword.internal.WebUIKeywordMain.runKeywordUntilTimeout(WebUIKeywordMain.groovy:133)
 at com.kms.katalon.core.webui.keyword.builtin.ClickKeyword.click(ClickKeyword.groovy:72)
 at com.kms.katalon.core.webui.keyword.builtin.ClickKeyword.execute(ClickKeyword.groovy:38)
 at com.kms.katalon.core.keyword.internal.KeywordExecutor.executeKeywordForPlatform(KeywordExecutor.groovy:106)
 at com.kms.katalon.core.webui.keyword.WebUiBuiltInKeywords.click(WebUiBuiltInKeywords.groovy:722)
 at TC324_DetalleEnvioPropio.run(TC324_DetalleEnvioPropio:20)
 at com.kms.katalo</t>
        </is>
      </c>
      <c r="H24" s="12" t="inlineStr">
        <is>
          <t>Reports/20261018_163618/TS_P1_RutaCritica/20261018_163618/JUnit_Report.xml</t>
        </is>
      </c>
    </row>
    <row r="25">
      <c r="A25" s="12" t="inlineStr">
        <is>
          <t>2026-10-18 21:36:55</t>
        </is>
      </c>
      <c r="B25" s="12" t="inlineStr">
        <is>
          <t>TS_P1_RutaCritica</t>
        </is>
      </c>
      <c r="C25" s="12" t="n">
        <v>320</v>
      </c>
      <c r="D25" s="12" t="inlineStr">
        <is>
          <t>Test Cases/P1/HU127_AccesoPorRol/TC320_ClienteSinVistaGlobal</t>
        </is>
      </c>
      <c r="E25" s="12" t="inlineStr">
        <is>
          <t>Pasó</t>
        </is>
      </c>
      <c r="F25" s="12" t="n">
        <v>46.9</v>
      </c>
      <c r="G25" s="12" t="inlineStr"/>
      <c r="H25" s="12" t="inlineStr">
        <is>
          <t>Reports/20261018_163618/TS_P1_RutaCritica/20261018_163618/JUnit_Report.xml</t>
        </is>
      </c>
    </row>
    <row r="26">
      <c r="A26" s="12" t="inlineStr">
        <is>
          <t>2026-10-18 21:36:55</t>
        </is>
      </c>
      <c r="B26" s="12" t="inlineStr">
        <is>
          <t>TS_P1_RutaCritica</t>
        </is>
      </c>
      <c r="C26" s="12" t="n">
        <v>319</v>
      </c>
      <c r="D26" s="12" t="inlineStr">
        <is>
          <t>Test Cases/P1/HU127_AccesoPorRol/TC319_AdminVeTodosLosEnvios</t>
        </is>
      </c>
      <c r="E26" s="12" t="inlineStr">
        <is>
          <t>Falló</t>
        </is>
      </c>
      <c r="F26" s="12" t="n">
        <v>102.1</v>
      </c>
      <c r="G26" s="12" t="inlineStr">
        <is>
          <t>Test Cases/P1/HU127_AccesoPorRol/TC319_AdminVeTodosLosEnvios FAILED.
Reason:
com.kms.katalon.core.exception.StepFailedException: No se cumple: La vista interna muestra la columna "Cliente"
 at com.kms.katalon.core.util.KeywordUtil.markFailedAndStop(KeywordUtil.java:31)
 at conexion360.Helpers.verificar(Helpers.groovy:312)
 at TC319_AdminVeTodosLosEnvios.run(TC319_AdminVeTodosLosEnvios:22)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t>
        </is>
      </c>
      <c r="H26" s="12" t="inlineStr">
        <is>
          <t>Reports/20261018_163618/TS_P1_RutaCritica/20261018_163618/JUnit_Report.xml</t>
        </is>
      </c>
    </row>
    <row r="27">
      <c r="A27" s="12" t="inlineStr">
        <is>
          <t>2026-10-18 21:36:55</t>
        </is>
      </c>
      <c r="B27" s="12" t="inlineStr">
        <is>
          <t>TS_P1_RutaCritica</t>
        </is>
      </c>
      <c r="C27" s="12" t="n">
        <v>318</v>
      </c>
      <c r="D27" s="12" t="inlineStr">
        <is>
          <t>Test Cases/P1/HU126_OwnershipEnvios/TC318_ApiRechazaEnvioAjeno</t>
        </is>
      </c>
      <c r="E27" s="12" t="inlineStr">
        <is>
          <t>Error</t>
        </is>
      </c>
      <c r="F27" s="12" t="n">
        <v>14.6</v>
      </c>
      <c r="G27" s="12" t="inlineStr">
        <is>
          <t>Test Cases/P1/HU126_OwnershipEnvios/TC318_ApiRechazaEnvioAjeno FAILED.
Reason:
groovy.lang.MissingMethodException: No signature of method: static com.kms.katalon.core.webui.keyword.WebUiBuiltInKeywords.executeAsyncJavaScript() is applicable for argument types: (String, ArrayList) values: [
   const done = arguments[arguments.length - 1];
   const [url, metodo, cuerpo, conToken] = arguments;
   const headers = {};
   if (conToken) {
    const key = Object.keys(localStorage).find(k =&gt; k.startsWith('@@auth0spajs@@') &amp;&amp; !k.includes('@@user@@'));
    headers.Authorization = 'Bearer ' + (key ? JSON.parse(localStorage.getItem(key)).body.access_token : '');
   }
   if (cuerpo) headers['Content-Type'] = 'application/json';
   fetch(url, { method: metodo, headers: headers, body: cuerpo || undefined })
    .then(r =&gt; r.text().then(t =&gt; done({ status: r.status, body: t })))
    .catch(e =&gt; done({ status: -1, body: String(e) }));
  , ...]
 at conexion360.Helpers.llamarApiCon(Helpers.groovy:297)
 at</t>
        </is>
      </c>
      <c r="H27" s="12" t="inlineStr">
        <is>
          <t>Reports/20261018_163618/TS_P1_RutaCritica/20261018_163618/JUnit_Report.xml</t>
        </is>
      </c>
    </row>
    <row r="28">
      <c r="A28" s="12" t="inlineStr">
        <is>
          <t>2026-10-18 21:36:55</t>
        </is>
      </c>
      <c r="B28" s="12" t="inlineStr">
        <is>
          <t>TS_P1_RutaCritica</t>
        </is>
      </c>
      <c r="C28" s="12" t="n">
        <v>317</v>
      </c>
      <c r="D28" s="12" t="inlineStr">
        <is>
          <t>Test Cases/P1/HU126_OwnershipEnvios/TC317_DetalleAjenoPorUrl</t>
        </is>
      </c>
      <c r="E28" s="12" t="inlineStr">
        <is>
          <t>Pasó</t>
        </is>
      </c>
      <c r="F28" s="12" t="n">
        <v>22</v>
      </c>
      <c r="G28" s="12" t="inlineStr"/>
      <c r="H28" s="12" t="inlineStr">
        <is>
          <t>Reports/20261018_163618/TS_P1_RutaCritica/20261018_163618/JUnit_Report.xml</t>
        </is>
      </c>
    </row>
    <row r="29">
      <c r="A29" s="12" t="inlineStr">
        <is>
          <t>2026-10-18 21:36:55</t>
        </is>
      </c>
      <c r="B29" s="12" t="inlineStr">
        <is>
          <t>TS_P1_RutaCritica</t>
        </is>
      </c>
      <c r="C29" s="12" t="n">
        <v>316</v>
      </c>
      <c r="D29" s="12" t="inlineStr">
        <is>
          <t>Test Cases/P1/HU126_OwnershipEnvios/TC316_ClienteSoloVeSusEnvios</t>
        </is>
      </c>
      <c r="E29" s="12" t="inlineStr">
        <is>
          <t>Falló</t>
        </is>
      </c>
      <c r="F29" s="12" t="n">
        <v>47.9</v>
      </c>
      <c r="G29" s="12" t="inlineStr">
        <is>
          <t>Test Cases/P1/HU126_OwnershipEnvios/TC316_ClienteSoloVeSusEnvios FAILED.
Reason:
com.kms.katalon.core.exception.StepFailedException: No se cumple: Aparece la guía propia
 at com.kms.katalon.core.util.KeywordUtil.markFailedAndStop(KeywordUtil.java:31)
 at conexion360.Helpers.verificar(Helpers.groovy:312)
 at TC316_ClienteSoloVeSusEnvios.run(TC316_ClienteSoloVeSusEnvios:24)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t>
        </is>
      </c>
      <c r="H29" s="12" t="inlineStr">
        <is>
          <t>Reports/20261018_163618/TS_P1_RutaCritica/20261018_163618/JUnit_Report.xml</t>
        </is>
      </c>
    </row>
    <row r="30">
      <c r="A30" s="12" t="inlineStr">
        <is>
          <t>2026-10-18 21:36:55</t>
        </is>
      </c>
      <c r="B30" s="12" t="inlineStr">
        <is>
          <t>TS_P1_RutaCritica</t>
        </is>
      </c>
      <c r="C30" s="12" t="n">
        <v>323</v>
      </c>
      <c r="D30" s="12" t="inlineStr">
        <is>
          <t>Test Cases/P1/HU34_BusquedaGuia/TC323_BusquedaGuiaOtroCliente</t>
        </is>
      </c>
      <c r="E30" s="12" t="inlineStr">
        <is>
          <t>Falló</t>
        </is>
      </c>
      <c r="F30" s="12" t="n">
        <v>33</v>
      </c>
      <c r="G30" s="12" t="inlineStr">
        <is>
          <t>Test Cases/P1/HU34_BusquedaGuia/TC323_BusquedaGuiaOtroCliente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TC323_BusquedaGuiaOtroCliente.run(TC323_BusquedaGuiaOtroCliente:23)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H30" s="12" t="inlineStr">
        <is>
          <t>Reports/20261018_163618/TS_P1_RutaCritica/20261018_163618/JUnit_Report.xml</t>
        </is>
      </c>
    </row>
    <row r="31">
      <c r="A31" s="12" t="inlineStr">
        <is>
          <t>2026-10-18 21:36:55</t>
        </is>
      </c>
      <c r="B31" s="12" t="inlineStr">
        <is>
          <t>TS_P1_RutaCritica</t>
        </is>
      </c>
      <c r="C31" s="12" t="n">
        <v>322</v>
      </c>
      <c r="D31" s="12" t="inlineStr">
        <is>
          <t>Test Cases/P1/HU34_BusquedaGuia/TC322_BusquedaCampoVacio</t>
        </is>
      </c>
      <c r="E31" s="12" t="inlineStr">
        <is>
          <t>Falló</t>
        </is>
      </c>
      <c r="F31" s="12" t="n">
        <v>23.9</v>
      </c>
      <c r="G31" s="12" t="inlineStr">
        <is>
          <t>Test Cases/P1/HU34_BusquedaGuia/TC322_BusquedaCampoVacio FAILED.
Reason:
com.kms.katalon.core.exception.StepFailedException: No se cumple: La búsqueda se limpia
 at com.kms.katalon.core.util.KeywordUtil.markFailedAndStop(KeywordUtil.java:31)
 at conexion360.Helpers.verificar(Helpers.groovy:312)
 at TC322_BusquedaCampoVacio.run(TC322_BusquedaCampoVacio:29)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com.kms.katalon.core.common.CommonExecutor.acce</t>
        </is>
      </c>
      <c r="H31" s="12" t="inlineStr">
        <is>
          <t>Reports/20261018_163618/TS_P1_RutaCritica/20261018_163618/JUnit_Report.xml</t>
        </is>
      </c>
    </row>
    <row r="32">
      <c r="A32" s="12" t="inlineStr">
        <is>
          <t>2026-10-18 21:36:55</t>
        </is>
      </c>
      <c r="B32" s="12" t="inlineStr">
        <is>
          <t>TS_P1_RutaCritica</t>
        </is>
      </c>
      <c r="C32" s="12" t="n">
        <v>306</v>
      </c>
      <c r="D32" s="12" t="inlineStr">
        <is>
          <t>Test Cases/P1/HU34_BusquedaGuia/TC306_BusquedaGuiaInexistente</t>
        </is>
      </c>
      <c r="E32" s="12" t="inlineStr">
        <is>
          <t>Falló</t>
        </is>
      </c>
      <c r="F32" s="12" t="n">
        <v>30.9</v>
      </c>
      <c r="G32" s="12" t="inlineStr">
        <is>
          <t>Test Cases/P1/HU34_BusquedaGuia/TC306_BusquedaGuiaInexistente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TC306_BusquedaGuiaInexistente.run(TC306_BusquedaGuiaInexistente:24)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t>
        </is>
      </c>
      <c r="H32" s="12" t="inlineStr">
        <is>
          <t>Reports/20261018_163618/TS_P1_RutaCritica/20261018_163618/JUnit_Report.xml</t>
        </is>
      </c>
    </row>
    <row r="33">
      <c r="A33" s="12" t="inlineStr">
        <is>
          <t>2026-10-18 21:36:55</t>
        </is>
      </c>
      <c r="B33" s="12" t="inlineStr">
        <is>
          <t>TS_P1_RutaCritica</t>
        </is>
      </c>
      <c r="C33" s="12" t="n">
        <v>305</v>
      </c>
      <c r="D33" s="12" t="inlineStr">
        <is>
          <t>Test Cases/P1/HU34_BusquedaGuia/TC305_BusquedaCaracteresEspeciales</t>
        </is>
      </c>
      <c r="E33" s="12" t="inlineStr">
        <is>
          <t>Pasó</t>
        </is>
      </c>
      <c r="F33" s="12" t="n">
        <v>17.1</v>
      </c>
      <c r="G33" s="12" t="inlineStr"/>
      <c r="H33" s="12" t="inlineStr">
        <is>
          <t>Reports/20261018_163618/TS_P1_RutaCritica/20261018_163618/JUnit_Report.xml</t>
        </is>
      </c>
    </row>
    <row r="34">
      <c r="A34" s="12" t="inlineStr">
        <is>
          <t>2026-10-18 21:36:55</t>
        </is>
      </c>
      <c r="B34" s="12" t="inlineStr">
        <is>
          <t>TS_P1_RutaCritica</t>
        </is>
      </c>
      <c r="C34" s="12" t="n">
        <v>304</v>
      </c>
      <c r="D34" s="12" t="inlineStr">
        <is>
          <t>Test Cases/P1/HU34_BusquedaGuia/TC304_BusquedaGuiaExistente</t>
        </is>
      </c>
      <c r="E34" s="12" t="inlineStr">
        <is>
          <t>Falló</t>
        </is>
      </c>
      <c r="F34" s="12" t="n">
        <v>47.2</v>
      </c>
      <c r="G34" s="12" t="inlineStr">
        <is>
          <t>Test Cases/P1/HU34_BusquedaGuia/TC304_BusquedaGuiaExistente FAILED.
Reason:
com.kms.katalon.core.exception.StepFailedException: No se cumple: La guía aparece en los resultados
 at com.kms.katalon.core.util.KeywordUtil.markFailedAndStop(KeywordUtil.java:31)
 at conexion360.Helpers.verificar(Helpers.groovy:312)
 at TC304_BusquedaGuiaExistente.run(TC304_BusquedaGuiaExistente:23)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t>
        </is>
      </c>
      <c r="H34" s="12" t="inlineStr">
        <is>
          <t>Reports/20261018_163618/TS_P1_RutaCritica/20261018_163618/JUnit_Report.xml</t>
        </is>
      </c>
    </row>
    <row r="35">
      <c r="A35" s="12" t="inlineStr">
        <is>
          <t>2026-10-18 21:36:55</t>
        </is>
      </c>
      <c r="B35" s="12" t="inlineStr">
        <is>
          <t>TS_P1_RutaCritica</t>
        </is>
      </c>
      <c r="C35" s="12" t="n">
        <v>321</v>
      </c>
      <c r="D35" s="12" t="inlineStr">
        <is>
          <t>Test Cases/P1/HU28_MisEnviosActivos/TC321_SinEnviosActivos</t>
        </is>
      </c>
      <c r="E35" s="12" t="inlineStr">
        <is>
          <t>Falló</t>
        </is>
      </c>
      <c r="F35" s="12" t="n">
        <v>103.1</v>
      </c>
      <c r="G35" s="12" t="inlineStr">
        <is>
          <t>Test Cases/P1/HU28_MisEnviosActivos/TC321_SinEnviosActivos FAILED.
Reason:
com.kms.katalon.core.exception.StepFailedException: No apareció el texto: Aún no tienes envíos asociados
 at com.kms.katalon.core.util.KeywordUtil.markFailedAndStop(KeywordUtil.java:31)
 at conexion360.Helpers.esperarTexto(Helpers.groovy:107)
 at TC321_SinEnviosActivos.run(TC321_SinEnviosActivos:21)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t>
        </is>
      </c>
      <c r="H35" s="12" t="inlineStr">
        <is>
          <t>Reports/20261018_163618/TS_P1_RutaCritica/20261018_163618/JUnit_Report.xml</t>
        </is>
      </c>
    </row>
    <row r="36">
      <c r="A36" s="12" t="inlineStr">
        <is>
          <t>2026-10-18 21:36:55</t>
        </is>
      </c>
      <c r="B36" s="12" t="inlineStr">
        <is>
          <t>TS_P1_RutaCritica</t>
        </is>
      </c>
      <c r="C36" s="12" t="n">
        <v>308</v>
      </c>
      <c r="D36" s="12" t="inlineStr">
        <is>
          <t>Test Cases/P1/HU28_MisEnviosActivos/TC308_FiltroPorEstado</t>
        </is>
      </c>
      <c r="E36" s="12" t="inlineStr">
        <is>
          <t>Falló</t>
        </is>
      </c>
      <c r="F36" s="12" t="n">
        <v>63.1</v>
      </c>
      <c r="G36" s="12" t="inlineStr">
        <is>
          <t>Test Cases/P1/HU28_MisEnviosActivos/TC308_FiltroPorEstado FAILED.
Reason:
com.kms.katalon.core.exception.StepFailedException: No apareció el texto: Ningún envío coincide con la búsqueda o los filtros seleccionados.
 at com.kms.katalon.core.util.KeywordUtil.markFailedAndStop(KeywordUtil.java:31)
 at conexion360.Helpers.esperarTexto(Helpers.groovy:107)
 at conexion360.Helpers.esperarTexto(Helpers.groovy)
 at TC308_FiltroPorEstado.run(TC308_FiltroPorEstado:28)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
        </is>
      </c>
      <c r="H36" s="12" t="inlineStr">
        <is>
          <t>Reports/20261018_163618/TS_P1_RutaCritica/20261018_163618/JUnit_Report.xml</t>
        </is>
      </c>
    </row>
    <row r="37">
      <c r="A37" s="12" t="inlineStr">
        <is>
          <t>2026-10-18 21:36:55</t>
        </is>
      </c>
      <c r="B37" s="12" t="inlineStr">
        <is>
          <t>TS_P1_RutaCritica</t>
        </is>
      </c>
      <c r="C37" s="12" t="n">
        <v>307</v>
      </c>
      <c r="D37" s="12" t="inlineStr">
        <is>
          <t>Test Cases/P1/HU28_MisEnviosActivos/TC307_ListarMisEnvios</t>
        </is>
      </c>
      <c r="E37" s="12" t="inlineStr">
        <is>
          <t>Falló</t>
        </is>
      </c>
      <c r="F37" s="12" t="n">
        <v>44</v>
      </c>
      <c r="G37" s="12" t="inlineStr">
        <is>
          <t>Test Cases/P1/HU28_MisEnviosActivos/TC307_ListarMisEnvios FAILED.
Reason:
com.kms.katalon.core.exception.StepFailedException: No se cumple: Se listan envíos (0 en la primera página)
 at com.kms.katalon.core.util.KeywordUtil.markFailedAndStop(KeywordUtil.java:31)
 at conexion360.Helpers.verificar(Helpers.groovy:312)
 at TC307_ListarMisEnvios.run(TC307_ListarMisEnvios:23)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com.kms.katalon.core.common.Comm</t>
        </is>
      </c>
      <c r="H37" s="12" t="inlineStr">
        <is>
          <t>Reports/20261018_163618/TS_P1_RutaCritica/20261018_163618/JUnit_Report.xml</t>
        </is>
      </c>
    </row>
    <row r="38">
      <c r="A38" s="12" t="inlineStr">
        <is>
          <t>2026-10-18 21:36:55</t>
        </is>
      </c>
      <c r="B38" s="12" t="inlineStr">
        <is>
          <t>TS_P1_RutaCritica</t>
        </is>
      </c>
      <c r="C38" s="12" t="n">
        <v>313</v>
      </c>
      <c r="D38" s="12" t="inlineStr">
        <is>
          <t>Test Cases/P1/HU214_BloqueoIntentos/TC313_BloqueoTercerIntento</t>
        </is>
      </c>
      <c r="E38" s="12" t="inlineStr">
        <is>
          <t>Pasó</t>
        </is>
      </c>
      <c r="F38" s="12" t="n">
        <v>27.1</v>
      </c>
      <c r="G38" s="12" t="inlineStr"/>
      <c r="H38" s="12" t="inlineStr">
        <is>
          <t>Reports/20261018_163618/TS_P1_RutaCritica/20261018_163618/JUnit_Report.xml</t>
        </is>
      </c>
    </row>
    <row r="39">
      <c r="A39" s="12" t="inlineStr">
        <is>
          <t>2026-10-18 21:36:55</t>
        </is>
      </c>
      <c r="B39" s="12" t="inlineStr">
        <is>
          <t>TS_P1_RutaCritica</t>
        </is>
      </c>
      <c r="C39" s="12" t="n">
        <v>314</v>
      </c>
      <c r="D39" s="12" t="inlineStr">
        <is>
          <t>Test Cases/P1/HU214_BloqueoIntentos/TC314_DosIntentosNoBloquean</t>
        </is>
      </c>
      <c r="E39" s="12" t="inlineStr">
        <is>
          <t>Falló</t>
        </is>
      </c>
      <c r="F39" s="12" t="n">
        <v>52.2</v>
      </c>
      <c r="G39" s="12" t="inlineStr">
        <is>
          <t>Test Cases/P1/HU214_BloqueoIntentos/TC314_DosIntentosNoBloquean FAILED.
Reason:
com.kms.katalon.core.exception.StepFailedException: No se cumple: La app redirige a /dashboard
 at com.kms.katalon.core.util.KeywordUtil.markFailedAndStop(KeywordUtil.java:31)
 at conexion360.Helpers.verificar(Helpers.groovy:312)
 at TC314_DosIntentosNoBloquean.run(TC314_DosIntentosNoBloquean:28)
 at com.kms.katalon.core.main.ScriptEngine.run(ScriptEngine.java:203)
 at com.kms.katalon.core.main.ScriptEngine.runScriptAsRawText(ScriptEngine.java:115)
 at com.kms.katalon.core.main.TestCaseExecutor.runScript(TestCaseExecutor.java:533)
 at com.kms.katalon.core.main.TestCaseExecutor.doExecute(TestCaseExecutor.java:524)
 at com.kms.katalon.core.main.TestCaseExecutor.processExecutionPhase(TestCaseExecutor.java:503)
 at com.kms.katalon.core.main.TestCaseExecutor.accessMainPhase(TestCaseExecutor.java:495)
 at com.kms.katalon.core.main.TestCaseExecutor.execute(TestCaseExecutor.java:359)
 at com.kms.katalon.core.common</t>
        </is>
      </c>
      <c r="H39" s="12" t="inlineStr">
        <is>
          <t>Reports/20261018_163618/TS_P1_RutaCritica/20261018_163618/JUnit_Report.xml</t>
        </is>
      </c>
    </row>
    <row r="40">
      <c r="A40" s="12" t="inlineStr">
        <is>
          <t>2026-10-18 21:36:55</t>
        </is>
      </c>
      <c r="B40" s="12" t="inlineStr">
        <is>
          <t>TS_P1_RutaCritica</t>
        </is>
      </c>
      <c r="C40" s="12" t="n">
        <v>312</v>
      </c>
      <c r="D40" s="12" t="inlineStr">
        <is>
          <t>Test Cases/P1/HU121_InicioSesion/TC312_RutaProtegidaSinSesion</t>
        </is>
      </c>
      <c r="E40" s="12" t="inlineStr">
        <is>
          <t>Pasó</t>
        </is>
      </c>
      <c r="F40" s="12" t="n">
        <v>4.3</v>
      </c>
      <c r="G40" s="12" t="inlineStr"/>
      <c r="H40" s="12" t="inlineStr">
        <is>
          <t>Reports/20261018_163618/TS_P1_RutaCritica/20261018_163618/JUnit_Report.xml</t>
        </is>
      </c>
    </row>
    <row r="41">
      <c r="A41" s="12" t="inlineStr">
        <is>
          <t>2026-10-18 21:36:55</t>
        </is>
      </c>
      <c r="B41" s="12" t="inlineStr">
        <is>
          <t>TS_P1_RutaCritica</t>
        </is>
      </c>
      <c r="C41" s="12" t="n">
        <v>309</v>
      </c>
      <c r="D41" s="12" t="inlineStr">
        <is>
          <t>Test Cases/P1/HU121_InicioSesion/TC309_LoginExitoso</t>
        </is>
      </c>
      <c r="E41" s="12" t="inlineStr">
        <is>
          <t>Pasó</t>
        </is>
      </c>
      <c r="F41" s="12" t="n">
        <v>12.5</v>
      </c>
      <c r="G41" s="12" t="inlineStr"/>
      <c r="H41" s="12" t="inlineStr">
        <is>
          <t>Reports/20261018_163618/TS_P1_RutaCritica/20261018_163618/JUnit_Report.xml</t>
        </is>
      </c>
    </row>
    <row r="42">
      <c r="A42" s="12" t="inlineStr">
        <is>
          <t>2026-10-18 21:36:55</t>
        </is>
      </c>
      <c r="B42" s="12" t="inlineStr">
        <is>
          <t>TS_P1_RutaCritica</t>
        </is>
      </c>
      <c r="C42" s="12" t="n">
        <v>311</v>
      </c>
      <c r="D42" s="12" t="inlineStr">
        <is>
          <t>Test Cases/P1/HU121_InicioSesion/TC311_LoginCorreoNoRegistrado</t>
        </is>
      </c>
      <c r="E42" s="12" t="inlineStr">
        <is>
          <t>Pasó</t>
        </is>
      </c>
      <c r="F42" s="12" t="n">
        <v>11.2</v>
      </c>
      <c r="G42" s="12" t="inlineStr"/>
      <c r="H42" s="12" t="inlineStr">
        <is>
          <t>Reports/20261018_163618/TS_P1_RutaCritica/20261018_163618/JUnit_Report.xml</t>
        </is>
      </c>
    </row>
    <row r="43">
      <c r="A43" s="12" t="inlineStr">
        <is>
          <t>2026-10-18 21:36:55</t>
        </is>
      </c>
      <c r="B43" s="12" t="inlineStr">
        <is>
          <t>TS_P1_RutaCritica</t>
        </is>
      </c>
      <c r="C43" s="12" t="n">
        <v>310</v>
      </c>
      <c r="D43" s="12" t="inlineStr">
        <is>
          <t>Test Cases/P1/HU121_InicioSesion/TC310_LoginContrasenaIncorrecta</t>
        </is>
      </c>
      <c r="E43" s="12" t="inlineStr">
        <is>
          <t>Pasó</t>
        </is>
      </c>
      <c r="F43" s="12" t="n">
        <v>17.1</v>
      </c>
      <c r="G43" s="12" t="inlineStr"/>
      <c r="H43" s="12" t="inlineStr">
        <is>
          <t>Reports/20261018_163618/TS_P1_RutaCritica/20261018_163618/JUnit_Report.xml</t>
        </is>
      </c>
    </row>
  </sheetData>
  <conditionalFormatting sqref="E2:E43">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2026-10-18T22:10:47Z</dcterms:created>
  <dcterms:modified xmlns:dcterms="http://purl.org/dc/terms/" xmlns:xsi="http://www.w3.org/2001/XMLSchema-instance" xsi:type="dcterms:W3CDTF">2026-10-18T22:10:47Z</dcterms:modified>
</cp:coreProperties>
</file>